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trocheme.sharepoint.com/sites/PME_Share/PME_FileShare/PME FILE SHARE 2021_JUNE/Local Logistics/EASTMAN-1/"/>
    </mc:Choice>
  </mc:AlternateContent>
  <xr:revisionPtr revIDLastSave="14994" documentId="13_ncr:1_{26B02E1F-D41B-4423-B03B-A7E4D9F7B45A}" xr6:coauthVersionLast="47" xr6:coauthVersionMax="47" xr10:uidLastSave="{11798580-A53F-466A-8C0F-8A6839E750D6}"/>
  <bookViews>
    <workbookView xWindow="-120" yWindow="-120" windowWidth="29040" windowHeight="15720" firstSheet="8" activeTab="9" xr2:uid="{2E785CA3-C970-4A12-AC26-EA986B6C807B}"/>
  </bookViews>
  <sheets>
    <sheet name="Order status January'2026" sheetId="30" r:id="rId1"/>
    <sheet name="Order status February'2026" sheetId="31" r:id="rId2"/>
    <sheet name="Order status March'2026" sheetId="32" r:id="rId3"/>
    <sheet name="Order status April'2026" sheetId="33" r:id="rId4"/>
    <sheet name="Order status May'2026" sheetId="34" r:id="rId5"/>
    <sheet name="Order status June'2026" sheetId="35" r:id="rId6"/>
    <sheet name="Order status July'2026" sheetId="36" r:id="rId7"/>
    <sheet name="Order status August'2026" sheetId="37" r:id="rId8"/>
    <sheet name="Order status September'2026" sheetId="38" r:id="rId9"/>
    <sheet name="Incoming vessels-2026" sheetId="2" r:id="rId10"/>
    <sheet name="Summary" sheetId="3" r:id="rId11"/>
  </sheets>
  <definedNames>
    <definedName name="_xlnm._FilterDatabase" localSheetId="9" hidden="1">'Incoming vessels-2026'!$A$4:$M$38</definedName>
    <definedName name="_xlnm._FilterDatabase" localSheetId="3" hidden="1">'Order status April''2026'!$A$2:$V$25</definedName>
    <definedName name="_xlnm._FilterDatabase" localSheetId="7" hidden="1">'Order status August''2026'!$A$2:$V$25</definedName>
    <definedName name="_xlnm._FilterDatabase" localSheetId="1" hidden="1">'Order status February''2026'!$A$2:$V$32</definedName>
    <definedName name="_xlnm._FilterDatabase" localSheetId="0" hidden="1">'Order status January''2026'!$A$2:$V$27</definedName>
    <definedName name="_xlnm._FilterDatabase" localSheetId="6" hidden="1">'Order status July''2026'!$A$2:$V$20</definedName>
    <definedName name="_xlnm._FilterDatabase" localSheetId="5" hidden="1">'Order status June''2026'!$A$2:$V$24</definedName>
    <definedName name="_xlnm._FilterDatabase" localSheetId="2" hidden="1">'Order status March''2026'!$A$2:$V$24</definedName>
    <definedName name="_xlnm._FilterDatabase" localSheetId="4" hidden="1">'Order status May''2026'!$A$2:$V$25</definedName>
    <definedName name="_xlnm._FilterDatabase" localSheetId="8" hidden="1">'Order status September''2026'!$A$2:$V$31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3" i="3" l="1"/>
  <c r="W123" i="3" s="1"/>
  <c r="U121" i="3"/>
  <c r="V123" i="3"/>
  <c r="U122" i="3" l="1"/>
  <c r="V122" i="3" l="1"/>
  <c r="U114" i="3" l="1"/>
  <c r="V121" i="3" l="1"/>
  <c r="W122" i="3" l="1"/>
  <c r="W121" i="3"/>
  <c r="W112" i="3"/>
  <c r="U101" i="3"/>
  <c r="U112" i="3"/>
  <c r="V114" i="3" l="1"/>
  <c r="V112" i="3" l="1"/>
  <c r="Q23" i="38" l="1"/>
  <c r="G23" i="38"/>
  <c r="E23" i="38"/>
  <c r="A23" i="38"/>
  <c r="R22" i="38"/>
  <c r="S22" i="38" s="1"/>
  <c r="R21" i="38"/>
  <c r="S21" i="38" s="1"/>
  <c r="R20" i="38"/>
  <c r="S20" i="38" s="1"/>
  <c r="R19" i="38"/>
  <c r="S19" i="38" s="1"/>
  <c r="R18" i="38"/>
  <c r="S18" i="38" s="1"/>
  <c r="R17" i="38"/>
  <c r="S17" i="38" s="1"/>
  <c r="R16" i="38"/>
  <c r="S16" i="38" s="1"/>
  <c r="R15" i="38"/>
  <c r="S15" i="38" s="1"/>
  <c r="R14" i="38"/>
  <c r="S14" i="38" s="1"/>
  <c r="R13" i="38"/>
  <c r="S13" i="38" s="1"/>
  <c r="R10" i="38"/>
  <c r="S10" i="38" s="1"/>
  <c r="R8" i="38"/>
  <c r="S8" i="38" s="1"/>
  <c r="R7" i="38"/>
  <c r="S7" i="38" s="1"/>
  <c r="R6" i="38"/>
  <c r="S6" i="38" s="1"/>
  <c r="R5" i="38"/>
  <c r="S5" i="38" s="1"/>
  <c r="R4" i="38"/>
  <c r="S4" i="38" s="1"/>
  <c r="R3" i="38"/>
  <c r="S3" i="38" s="1"/>
  <c r="R9" i="38" l="1"/>
  <c r="S9" i="38" s="1"/>
  <c r="W114" i="3" l="1"/>
  <c r="V101" i="3" l="1"/>
  <c r="W101" i="3"/>
  <c r="U113" i="3" l="1"/>
  <c r="W113" i="3"/>
  <c r="V99" i="3" l="1"/>
  <c r="W99" i="3"/>
  <c r="U99" i="3" l="1"/>
  <c r="R7" i="37"/>
  <c r="S7" i="37"/>
  <c r="R3" i="37"/>
  <c r="S3" i="37" s="1"/>
  <c r="R4" i="37"/>
  <c r="S4" i="37" s="1"/>
  <c r="R5" i="37"/>
  <c r="S5" i="37" s="1"/>
  <c r="R6" i="37"/>
  <c r="S6" i="37" s="1"/>
  <c r="R8" i="37"/>
  <c r="S8" i="37" s="1"/>
  <c r="R9" i="37"/>
  <c r="S9" i="37" s="1"/>
  <c r="R10" i="37"/>
  <c r="S10" i="37" s="1"/>
  <c r="R13" i="37"/>
  <c r="S13" i="37" s="1"/>
  <c r="R14" i="37"/>
  <c r="S14" i="37" s="1"/>
  <c r="R15" i="37"/>
  <c r="S15" i="37" s="1"/>
  <c r="R16" i="37"/>
  <c r="S16" i="37" s="1"/>
  <c r="A17" i="37"/>
  <c r="E17" i="37"/>
  <c r="G17" i="37"/>
  <c r="Q17" i="37"/>
  <c r="R14" i="35" l="1"/>
  <c r="R8" i="36" l="1"/>
  <c r="R8" i="35"/>
  <c r="A16" i="35"/>
  <c r="E16" i="35"/>
  <c r="G16" i="35"/>
  <c r="Q16" i="35"/>
  <c r="U100" i="3"/>
  <c r="V100" i="3" l="1"/>
  <c r="W100" i="3"/>
  <c r="V88" i="3"/>
  <c r="V87" i="3"/>
  <c r="R3" i="36"/>
  <c r="S3" i="36" s="1"/>
  <c r="S8" i="36"/>
  <c r="S11" i="36"/>
  <c r="R10" i="36"/>
  <c r="S10" i="36" s="1"/>
  <c r="R9" i="36"/>
  <c r="S9" i="36" s="1"/>
  <c r="R6" i="36"/>
  <c r="S6" i="36" s="1"/>
  <c r="R5" i="36"/>
  <c r="S5" i="36" s="1"/>
  <c r="R4" i="36"/>
  <c r="S4" i="36" s="1"/>
  <c r="Q12" i="36"/>
  <c r="G12" i="36"/>
  <c r="E12" i="36"/>
  <c r="V86" i="3"/>
  <c r="R13" i="35"/>
  <c r="S13" i="35" s="1"/>
  <c r="R10" i="35"/>
  <c r="U87" i="3"/>
  <c r="R9" i="35"/>
  <c r="R5" i="35"/>
  <c r="U86" i="3"/>
  <c r="U88" i="3"/>
  <c r="S9" i="34"/>
  <c r="R15" i="34"/>
  <c r="R14" i="34"/>
  <c r="U75" i="3"/>
  <c r="R3" i="35"/>
  <c r="S3" i="35" s="1"/>
  <c r="R6" i="35"/>
  <c r="S6" i="35" s="1"/>
  <c r="V75" i="3"/>
  <c r="W88" i="3"/>
  <c r="W87" i="3"/>
  <c r="W86" i="3"/>
  <c r="R15" i="35"/>
  <c r="S15" i="35" s="1"/>
  <c r="S14" i="35"/>
  <c r="S8" i="35"/>
  <c r="R4" i="35"/>
  <c r="S4" i="35" s="1"/>
  <c r="V73" i="3"/>
  <c r="U73" i="3"/>
  <c r="R11" i="34"/>
  <c r="S11" i="34" s="1"/>
  <c r="S46" i="2"/>
  <c r="G17" i="34"/>
  <c r="V60" i="3"/>
  <c r="U74" i="3"/>
  <c r="V61" i="3"/>
  <c r="V74" i="3"/>
  <c r="W75" i="3"/>
  <c r="W74" i="3"/>
  <c r="W73" i="3"/>
  <c r="U60" i="3"/>
  <c r="V62" i="3"/>
  <c r="U62" i="3"/>
  <c r="R10" i="34"/>
  <c r="S10" i="34" s="1"/>
  <c r="R9" i="34"/>
  <c r="S15" i="34"/>
  <c r="Q17" i="34"/>
  <c r="E17" i="34"/>
  <c r="A17" i="34"/>
  <c r="R16" i="34"/>
  <c r="S16" i="34" s="1"/>
  <c r="S14" i="34"/>
  <c r="R13" i="34"/>
  <c r="S13" i="34" s="1"/>
  <c r="R12" i="34"/>
  <c r="S12" i="34" s="1"/>
  <c r="R8" i="34"/>
  <c r="S8" i="34" s="1"/>
  <c r="R6" i="34"/>
  <c r="S6" i="34" s="1"/>
  <c r="R5" i="34"/>
  <c r="S5" i="34" s="1"/>
  <c r="R4" i="34"/>
  <c r="S4" i="34" s="1"/>
  <c r="R3" i="34"/>
  <c r="S3" i="34" s="1"/>
  <c r="R6" i="33"/>
  <c r="U61" i="3"/>
  <c r="W62" i="3"/>
  <c r="W61" i="3"/>
  <c r="W60" i="3"/>
  <c r="V49" i="3"/>
  <c r="V47" i="3"/>
  <c r="R10" i="32"/>
  <c r="Q17" i="33"/>
  <c r="G17" i="33"/>
  <c r="E17" i="33"/>
  <c r="A17" i="33"/>
  <c r="R16" i="33"/>
  <c r="S16" i="33" s="1"/>
  <c r="S14" i="33"/>
  <c r="R13" i="33"/>
  <c r="S13" i="33" s="1"/>
  <c r="R12" i="33"/>
  <c r="S12" i="33" s="1"/>
  <c r="R11" i="33"/>
  <c r="S11" i="33" s="1"/>
  <c r="R8" i="33"/>
  <c r="S8" i="33" s="1"/>
  <c r="R7" i="33"/>
  <c r="S7" i="33" s="1"/>
  <c r="S6" i="33"/>
  <c r="R5" i="33"/>
  <c r="S5" i="33" s="1"/>
  <c r="R4" i="33"/>
  <c r="S4" i="33" s="1"/>
  <c r="R3" i="33"/>
  <c r="S3" i="33" s="1"/>
  <c r="R17" i="31"/>
  <c r="R19" i="31"/>
  <c r="R10" i="31"/>
  <c r="U49" i="3"/>
  <c r="V48" i="3"/>
  <c r="W49" i="3"/>
  <c r="V35" i="3"/>
  <c r="V33" i="3"/>
  <c r="S10" i="32"/>
  <c r="Q16" i="32"/>
  <c r="G16" i="32"/>
  <c r="E16" i="32"/>
  <c r="A16" i="32"/>
  <c r="R14" i="32"/>
  <c r="S14" i="32" s="1"/>
  <c r="R13" i="32"/>
  <c r="S13" i="32" s="1"/>
  <c r="R12" i="32"/>
  <c r="S12" i="32" s="1"/>
  <c r="R11" i="32"/>
  <c r="S11" i="32" s="1"/>
  <c r="R9" i="32"/>
  <c r="S9" i="32" s="1"/>
  <c r="R8" i="32"/>
  <c r="S8" i="32" s="1"/>
  <c r="R6" i="32"/>
  <c r="S6" i="32" s="1"/>
  <c r="R5" i="32"/>
  <c r="S5" i="32" s="1"/>
  <c r="R4" i="32"/>
  <c r="S4" i="32" s="1"/>
  <c r="R3" i="32"/>
  <c r="S3" i="32" s="1"/>
  <c r="V34" i="3"/>
  <c r="U14" i="30"/>
  <c r="V19" i="3"/>
  <c r="U18" i="3"/>
  <c r="U17" i="3"/>
  <c r="U19" i="3"/>
  <c r="W19" i="3"/>
  <c r="U35" i="3" s="1"/>
  <c r="W35" i="3" s="1"/>
  <c r="V18" i="3"/>
  <c r="W18" i="3"/>
  <c r="U34" i="3" s="1"/>
  <c r="W34" i="3" s="1"/>
  <c r="U48" i="3" s="1"/>
  <c r="W48" i="3" s="1"/>
  <c r="V17" i="3"/>
  <c r="W17" i="3"/>
  <c r="U33" i="3" s="1"/>
  <c r="W33" i="3" s="1"/>
  <c r="U47" i="3" s="1"/>
  <c r="W47" i="3" s="1"/>
  <c r="R7" i="30"/>
  <c r="R23" i="31"/>
  <c r="R5" i="31"/>
  <c r="S5" i="31" s="1"/>
  <c r="R4" i="31"/>
  <c r="S4" i="31" s="1"/>
  <c r="R3" i="31"/>
  <c r="S3" i="31" s="1"/>
  <c r="Q24" i="31"/>
  <c r="G24" i="31"/>
  <c r="E24" i="31"/>
  <c r="A24" i="31"/>
  <c r="S23" i="31"/>
  <c r="R22" i="31"/>
  <c r="S22" i="31" s="1"/>
  <c r="R21" i="31"/>
  <c r="S21" i="31" s="1"/>
  <c r="R20" i="31"/>
  <c r="S20" i="31" s="1"/>
  <c r="S19" i="31"/>
  <c r="R18" i="31"/>
  <c r="S18" i="31" s="1"/>
  <c r="S17" i="31"/>
  <c r="R15" i="31"/>
  <c r="S15" i="31"/>
  <c r="R14" i="31"/>
  <c r="S14" i="31" s="1"/>
  <c r="R12" i="31"/>
  <c r="S12" i="31" s="1"/>
  <c r="R11" i="31"/>
  <c r="S11" i="31" s="1"/>
  <c r="S10" i="31"/>
  <c r="R9" i="31"/>
  <c r="S9" i="31" s="1"/>
  <c r="R8" i="31"/>
  <c r="S8" i="31" s="1"/>
  <c r="R7" i="31"/>
  <c r="S7" i="31" s="1"/>
  <c r="R6" i="31"/>
  <c r="S6" i="31" s="1"/>
  <c r="O15" i="30"/>
  <c r="O3" i="30"/>
  <c r="Q19" i="30"/>
  <c r="G19" i="30"/>
  <c r="E19" i="30"/>
  <c r="A19" i="30"/>
  <c r="R18" i="30"/>
  <c r="S18" i="30" s="1"/>
  <c r="R17" i="30"/>
  <c r="S17" i="30" s="1"/>
  <c r="R15" i="30"/>
  <c r="S15" i="30" s="1"/>
  <c r="R14" i="30"/>
  <c r="S14" i="30" s="1"/>
  <c r="R12" i="30"/>
  <c r="S12" i="30" s="1"/>
  <c r="R11" i="30"/>
  <c r="S11" i="30" s="1"/>
  <c r="R10" i="30"/>
  <c r="S10" i="30"/>
  <c r="R9" i="30"/>
  <c r="S9" i="30" s="1"/>
  <c r="R8" i="30"/>
  <c r="S8" i="30" s="1"/>
  <c r="S7" i="30"/>
  <c r="R6" i="30"/>
  <c r="S6" i="30" s="1"/>
  <c r="R3" i="30"/>
  <c r="S3" i="30" s="1"/>
  <c r="G212" i="2" l="1"/>
  <c r="N18" i="3" l="1"/>
  <c r="N22" i="3" s="1"/>
  <c r="O24" i="3" s="1"/>
  <c r="N7" i="3" l="1"/>
  <c r="N11" i="3" l="1"/>
  <c r="O13" i="3" s="1"/>
  <c r="E36" i="3"/>
  <c r="D36" i="3"/>
  <c r="F16" i="3"/>
  <c r="D16" i="3"/>
</calcChain>
</file>

<file path=xl/sharedStrings.xml><?xml version="1.0" encoding="utf-8"?>
<sst xmlns="http://schemas.openxmlformats.org/spreadsheetml/2006/main" count="2175" uniqueCount="632">
  <si>
    <t>EASTMAN ORDER DETAILS - January'2026</t>
  </si>
  <si>
    <t>S.no</t>
  </si>
  <si>
    <t>EASTMAN DN NO#</t>
  </si>
  <si>
    <t>Customer</t>
  </si>
  <si>
    <t>Description</t>
  </si>
  <si>
    <t>Net wt
MT</t>
  </si>
  <si>
    <t>Gross wt
MT</t>
  </si>
  <si>
    <t>Actual loaded qty
MT</t>
  </si>
  <si>
    <t>QTY</t>
  </si>
  <si>
    <t>UoM</t>
  </si>
  <si>
    <t>Road/Sea</t>
  </si>
  <si>
    <t>LOADING DATE</t>
  </si>
  <si>
    <t>RDD</t>
  </si>
  <si>
    <t>Comments</t>
  </si>
  <si>
    <t>Transporter/
Shipping Line</t>
  </si>
  <si>
    <t>Transportation charges to Eastman
USD</t>
  </si>
  <si>
    <t>Invoice # received from Transport</t>
  </si>
  <si>
    <t>Invoice Value
aed</t>
  </si>
  <si>
    <t>Invoice Value
USD</t>
  </si>
  <si>
    <t>Percentage Margin on Transport</t>
  </si>
  <si>
    <t>MFC/TWD INV</t>
  </si>
  <si>
    <t>Invoice Value Duty
aed</t>
  </si>
  <si>
    <t>GREEN RACEME, DAMMAM</t>
  </si>
  <si>
    <t>TEXANOL</t>
  </si>
  <si>
    <t>DRUMS</t>
  </si>
  <si>
    <t>SEA</t>
  </si>
  <si>
    <t>1st WK Jan</t>
  </si>
  <si>
    <t>-</t>
  </si>
  <si>
    <t>GLW</t>
  </si>
  <si>
    <t>GWINV007517/26 DTD 20.01.26</t>
  </si>
  <si>
    <t>IBC'S</t>
  </si>
  <si>
    <t>JOTUN DUBAI</t>
  </si>
  <si>
    <t>BULK</t>
  </si>
  <si>
    <t>ROAD</t>
  </si>
  <si>
    <r>
      <rPr>
        <sz val="11"/>
        <color rgb="FF000000"/>
        <rFont val="Calibri"/>
        <family val="2"/>
        <scheme val="minor"/>
      </rPr>
      <t xml:space="preserve">TRANSWORLD
</t>
    </r>
    <r>
      <rPr>
        <sz val="11"/>
        <color rgb="FFFFFFFF"/>
        <rFont val="Calibri"/>
        <family val="2"/>
        <scheme val="minor"/>
      </rPr>
      <t>COO Charged in DEC'25 Invoicing</t>
    </r>
  </si>
  <si>
    <t>RAHID</t>
  </si>
  <si>
    <t>RPT/13058/2026 DTD 31.01.26</t>
  </si>
  <si>
    <t>50862250893 DTD 05.01.26</t>
  </si>
  <si>
    <t>JOTUN SAUDIA, YANBU</t>
  </si>
  <si>
    <t>MFC - EXIT/ENTRY COLLECTED</t>
  </si>
  <si>
    <t>DATE</t>
  </si>
  <si>
    <t>DATE-034290 DTD 31.01.26</t>
  </si>
  <si>
    <t>INF270126163627 DTD 27.01.26</t>
  </si>
  <si>
    <t>DATE-034289 DTD 31.01.26</t>
  </si>
  <si>
    <t>INF270126163629 DTD 27.01.26</t>
  </si>
  <si>
    <t>JOTUN SAUDIA, JEDDAH</t>
  </si>
  <si>
    <t>SAJ</t>
  </si>
  <si>
    <t>SAJ 7593 DTD 14.01.26</t>
  </si>
  <si>
    <t>INF270126163633 DTD 27.01.26</t>
  </si>
  <si>
    <t>SAJ 7599 DTD 21.01.26</t>
  </si>
  <si>
    <t>INF270126163635 DTD 27.01.26</t>
  </si>
  <si>
    <t>TRIPLE SEVEN PAINTS, JEDDAH</t>
  </si>
  <si>
    <t>ASAP</t>
  </si>
  <si>
    <t>GWINV011098/26 DTD 27.01.26</t>
  </si>
  <si>
    <t>JOTUN QATAR</t>
  </si>
  <si>
    <t>BDP</t>
  </si>
  <si>
    <t>FCA - BDP</t>
  </si>
  <si>
    <t>N/A</t>
  </si>
  <si>
    <t>JOTUN OMAN</t>
  </si>
  <si>
    <t>RPT/13034/2026 DTD 28.01.26</t>
  </si>
  <si>
    <t>INF270126163637 DTD 27.01.26
CNF040226008785 DTD 04.02.26
CREDIT NOTE OF AED 26.25 GIVEN</t>
  </si>
  <si>
    <t>OSCAR PAINTS, JEDDAH</t>
  </si>
  <si>
    <t>GWINV012057/26 DTD 29.01.26</t>
  </si>
  <si>
    <t>TRANSWORLD</t>
  </si>
  <si>
    <t>GURDASPUR</t>
  </si>
  <si>
    <t>INV-001305 DTD 01.02.26</t>
  </si>
  <si>
    <t>50862251694 DTD 04.02.26</t>
  </si>
  <si>
    <t>AL JAZEERA, KHAMIS</t>
  </si>
  <si>
    <t>DATE-034375 DTD 31.01.26</t>
  </si>
  <si>
    <t>INF060226164361 DTD 06.02.26
INF060226164360 DTD 06.02.26</t>
  </si>
  <si>
    <t xml:space="preserve">  </t>
  </si>
  <si>
    <t>order docs not processed</t>
  </si>
  <si>
    <t>SAUDI</t>
  </si>
  <si>
    <t>Vehicle details to be received from transporter</t>
  </si>
  <si>
    <t>Ask for way bill from transporter</t>
  </si>
  <si>
    <t>give vehicle details to white sea and ask for Sila bayan</t>
  </si>
  <si>
    <t>Send bayan and other docs for Fasah to customer batha agent</t>
  </si>
  <si>
    <t>To Be Added in Invoicing</t>
  </si>
  <si>
    <t>give fasah to transporter</t>
  </si>
  <si>
    <t>EASTMAN ORDER DETAILS - February'2026</t>
  </si>
  <si>
    <t>JOTUN ABU DHABI</t>
  </si>
  <si>
    <r>
      <rPr>
        <sz val="11"/>
        <color rgb="FF000000"/>
        <rFont val="Calibri"/>
        <family val="2"/>
        <scheme val="minor"/>
      </rPr>
      <t xml:space="preserve">TRANSWORLD
</t>
    </r>
    <r>
      <rPr>
        <sz val="11"/>
        <color rgb="FFFFFFFF"/>
        <rFont val="Calibri"/>
        <family val="2"/>
        <scheme val="minor"/>
      </rPr>
      <t>COO Charged in JAN'26 Invoicing</t>
    </r>
  </si>
  <si>
    <t>INV-001355 DTD 01.03.26</t>
  </si>
  <si>
    <t>SAJ 7643 DTD 04.02.26</t>
  </si>
  <si>
    <t>INF160226164589 DTD 16.02.26</t>
  </si>
  <si>
    <t>SAJ 7655 DTD 17.02.26</t>
  </si>
  <si>
    <t>INF260226165306 DTD 26.02.26</t>
  </si>
  <si>
    <t>RPT/13131/2026 DTD 28.02.26</t>
  </si>
  <si>
    <t>RPT/13128/2026 DTD 28.02.26</t>
  </si>
  <si>
    <t>INF160226164591 DTD 16.02.26
INF160226164590 DTD 16.02.26</t>
  </si>
  <si>
    <t>GTC PAINTS, KUWAIT</t>
  </si>
  <si>
    <t>GWINV019892/26 DTD 17.02.26</t>
  </si>
  <si>
    <t>RPT/13144/2026 DTD 13.03.26</t>
  </si>
  <si>
    <t>INF160226164593 DTD 16.02.26</t>
  </si>
  <si>
    <t>50862252315 DTD 03.03.26</t>
  </si>
  <si>
    <t>DATE-034490 DTD 28.02.26</t>
  </si>
  <si>
    <t>INF160226164595 DTD 16.02.26
INF160226164594 DTD 16.02.26</t>
  </si>
  <si>
    <t>AL-TABIEAA, IRAQ</t>
  </si>
  <si>
    <t>DP WORLD</t>
  </si>
  <si>
    <t>RPT/13106/2026 DTD 23.02.26</t>
  </si>
  <si>
    <t>INF100326165721 DTD 10.03.26</t>
  </si>
  <si>
    <t>RPT/13111/2026 DTD 26.02.26</t>
  </si>
  <si>
    <t>INF280226165607 DTD 28.02.26</t>
  </si>
  <si>
    <t>SAJ 7666 DTD 23.02.26</t>
  </si>
  <si>
    <t>INF280226165606 DTD 28.02.26</t>
  </si>
  <si>
    <t>DATE-034559 DTD 28.02.26</t>
  </si>
  <si>
    <t>INF280226165608 DTD 28.02.26</t>
  </si>
  <si>
    <t>EASTMAN ORDER DETAILS - March'2026</t>
  </si>
  <si>
    <r>
      <rPr>
        <sz val="11"/>
        <color rgb="FF000000"/>
        <rFont val="Calibri"/>
        <family val="2"/>
        <scheme val="minor"/>
      </rPr>
      <t xml:space="preserve">TRANSWORLD
</t>
    </r>
    <r>
      <rPr>
        <sz val="11"/>
        <color rgb="FFFFFFFF"/>
        <rFont val="Calibri"/>
        <family val="2"/>
        <scheme val="minor"/>
      </rPr>
      <t>COO Charged in FEB'26 Invoicing</t>
    </r>
  </si>
  <si>
    <t>RPT/13202/2026 DTD 31.03.26</t>
  </si>
  <si>
    <t>SAJ 7702 DTD 06.03.26</t>
  </si>
  <si>
    <t>INF300326166479 DTD 30.03.26</t>
  </si>
  <si>
    <t>DATE-034660 DTD 31.03.26</t>
  </si>
  <si>
    <t>INF300326166480 DTD 30.03.26</t>
  </si>
  <si>
    <t>RPT/13185/2026 DTD 26.03.26</t>
  </si>
  <si>
    <t>INF310326166554 DTD 31.03.26</t>
  </si>
  <si>
    <t>CALL OFF</t>
  </si>
  <si>
    <t>DATE-034661 DTD 31.03.26</t>
  </si>
  <si>
    <t>INF300326166482 DTD 30.03.26
INF300326166481 DTD 30.03.26</t>
  </si>
  <si>
    <t>RPT/13183/2026 DTD 26.03.26</t>
  </si>
  <si>
    <t>INF300326166484 DTD 30.03.26
INF300326166483 DTD 30.03.26</t>
  </si>
  <si>
    <t>SAJ 7725 DTD 18.03.26</t>
  </si>
  <si>
    <t>INF310326166556 DTD 31.03.26</t>
  </si>
  <si>
    <t>DATE-034662 DTD 31.03.26</t>
  </si>
  <si>
    <t>INF310326166557 DTD 31.03.26</t>
  </si>
  <si>
    <t>INV-001390 DTD 01.04.26</t>
  </si>
  <si>
    <t>50862252693 DTD 06.04.26</t>
  </si>
  <si>
    <t>DATE-034663 DTD 31.03.26</t>
  </si>
  <si>
    <t>INF310326166570 DTD 31.03.26
INF310326166567 DTD 31.03.26</t>
  </si>
  <si>
    <t>DATE-034665 DTD 31.03.26</t>
  </si>
  <si>
    <t>INF310326166562 DTD 31.03.26
INF310326166561 DTD 31.03.26</t>
  </si>
  <si>
    <t>1 COO TO BE CHARGED</t>
  </si>
  <si>
    <t>TBD</t>
  </si>
  <si>
    <t>ORDER CANCELLED</t>
  </si>
  <si>
    <t>EASTMAN ORDER DETAILS - April'2026</t>
  </si>
  <si>
    <r>
      <rPr>
        <sz val="11"/>
        <color rgb="FF000000"/>
        <rFont val="Calibri"/>
        <family val="2"/>
        <scheme val="minor"/>
      </rPr>
      <t xml:space="preserve">TRANSWORLD
</t>
    </r>
    <r>
      <rPr>
        <sz val="11"/>
        <color rgb="FFFFFFFF"/>
        <rFont val="Calibri"/>
        <family val="2"/>
        <scheme val="minor"/>
      </rPr>
      <t>COO Charged in MARCH'26 Invoicing</t>
    </r>
  </si>
  <si>
    <t>INV-001421 DTD 01.05.26</t>
  </si>
  <si>
    <t>RPT/13231/2026 DTD 14.04.26</t>
  </si>
  <si>
    <t>INF290426167783 DTD 29.04.26</t>
  </si>
  <si>
    <t>FIBERCHEMIE, SHARJAH</t>
  </si>
  <si>
    <t>50862253169 DTD 05.05.26</t>
  </si>
  <si>
    <t>RPT/13229/2026 DTD 14.04.26</t>
  </si>
  <si>
    <t>INF290426167789 DTD 29.04.26</t>
  </si>
  <si>
    <t>SAJ 7795 DTD 06.04.26</t>
  </si>
  <si>
    <t>INF290426167786 DTD 29.04.26</t>
  </si>
  <si>
    <t>RPT/13230/2026 DTD 14.04.26</t>
  </si>
  <si>
    <t>INF290426167791 DTD 29.04.26
INF290426167790 DTD 29.04.26</t>
  </si>
  <si>
    <t>GREEN RACEME, RIYADH</t>
  </si>
  <si>
    <t>FCA</t>
  </si>
  <si>
    <t>50862253172 DTD 05.05.26</t>
  </si>
  <si>
    <t>DATE-034827 DTD 30.04.26</t>
  </si>
  <si>
    <t>INF290426167794 DTD 29.04.26</t>
  </si>
  <si>
    <t>SAJ 7799 DTD 16.04.26</t>
  </si>
  <si>
    <t>INF290426167814 DTD 29.04.26</t>
  </si>
  <si>
    <t>LEASE</t>
  </si>
  <si>
    <t>DATE-034928 DTD 30.04.26</t>
  </si>
  <si>
    <t>INF290426167821 DTD 29.04.26
INF290426167818 DTD 29.04.26</t>
  </si>
  <si>
    <t>The Order Hasn't Been Processed</t>
  </si>
  <si>
    <t>TRIPLE SEVEN PAINTS, MADINA</t>
  </si>
  <si>
    <t>Pending ISO TANKER Invoicing to be confirmed, 15% or more will be charged upon confirmation (Note for Kam)</t>
  </si>
  <si>
    <t>EASTMAN ORDER DETAILS - May'2026</t>
  </si>
  <si>
    <t>RPT/13296/2026 DTD 10.05.26</t>
  </si>
  <si>
    <t>INF300526168976 DTD 30.05.26</t>
  </si>
  <si>
    <t>SAJ 7832 B DTD 11.05.26</t>
  </si>
  <si>
    <t>INF300526168979 DTD 30.05.26</t>
  </si>
  <si>
    <r>
      <rPr>
        <sz val="11"/>
        <color rgb="FF000000"/>
        <rFont val="Calibri"/>
        <family val="2"/>
        <scheme val="minor"/>
      </rPr>
      <t xml:space="preserve">TRANSWORLD
</t>
    </r>
    <r>
      <rPr>
        <sz val="11"/>
        <color rgb="FFFFFFFF"/>
        <rFont val="Calibri"/>
        <family val="2"/>
        <scheme val="minor"/>
      </rPr>
      <t>COO Charged in APRIL'26 Invoicing</t>
    </r>
  </si>
  <si>
    <t>INV-001453 DTD 01.06.26</t>
  </si>
  <si>
    <t>RPT/13324/2026 DTD 25.05.26</t>
  </si>
  <si>
    <t>INF300526168982 DTD 30.05.26
INF300526168981 DTD 30.05.26</t>
  </si>
  <si>
    <t>SAJ 7832 DTD 11.05.26</t>
  </si>
  <si>
    <t>INF300526168983 DTD 30.05.26</t>
  </si>
  <si>
    <t>RPT/13309/2026 DTD 15.06.26</t>
  </si>
  <si>
    <t>INF300526168984 DTD 30.05.26</t>
  </si>
  <si>
    <t>50862253646 DTD 04.06.26</t>
  </si>
  <si>
    <t>RPT/13330/2026 DTD 31.05.26</t>
  </si>
  <si>
    <t>INF300526168986 DTD 30.05.26
INF300526168985 DTD 30.05.26</t>
  </si>
  <si>
    <t>SAJ 7841 DTD 19.05.26</t>
  </si>
  <si>
    <t>INF300526168987 DTD 30.05.26</t>
  </si>
  <si>
    <t>RPT/13331/2026 DTD 31.05.26</t>
  </si>
  <si>
    <t>INF300526168988 DTD 30.05.26</t>
  </si>
  <si>
    <t>Transportation Charges Increase Starting From May</t>
  </si>
  <si>
    <t>EASTMAN ORDER DETAILS - June'2026</t>
  </si>
  <si>
    <t>INV-001481 DTD 01.07.26</t>
  </si>
  <si>
    <t>50862254093 DTD 30.06.26</t>
  </si>
  <si>
    <t>DATE-035155 DTD 30.06.26</t>
  </si>
  <si>
    <t>INF290626169987 DTD 29.06.26</t>
  </si>
  <si>
    <t>50862254098 DTD 30.06.26</t>
  </si>
  <si>
    <t>FCA - LOGIKW</t>
  </si>
  <si>
    <t>DATE-035180 DTD 02.07.26</t>
  </si>
  <si>
    <t>INF010726170293 DTD 01.07.26</t>
  </si>
  <si>
    <r>
      <rPr>
        <sz val="11"/>
        <color rgb="FF000000"/>
        <rFont val="Calibri"/>
        <family val="2"/>
        <scheme val="minor"/>
      </rPr>
      <t xml:space="preserve">MFC - EXIT/ENTRY COLLECTED
</t>
    </r>
    <r>
      <rPr>
        <sz val="11"/>
        <color rgb="FFFF0000"/>
        <rFont val="Calibri"/>
        <family val="2"/>
        <scheme val="minor"/>
      </rPr>
      <t>DETENTION CHARGES - 4 DAYS - AED 2K</t>
    </r>
  </si>
  <si>
    <t>RPT/13406/2026 DTD 30.06.26
RPT/13434/2026 DTD 20.07.26</t>
  </si>
  <si>
    <t>INF290626169990 DTD 29.06.26
INF290626169988 DTD 29.06.26</t>
  </si>
  <si>
    <t>RPT/13394/2026 DTD 30.06.26</t>
  </si>
  <si>
    <t>INF290626169993 DTD 29.06.26
INF290626169992 DTD 29.06.26</t>
  </si>
  <si>
    <t>50862253985 DTD 24.06.26 - AED 300 - 57425377 - VESSEL</t>
  </si>
  <si>
    <t>50862254115 DTD 30.06.26 - AED 1099.56 - 57526904 - VESSEL</t>
  </si>
  <si>
    <t>EASTMAN ORDER DETAILS - July'2026</t>
  </si>
  <si>
    <r>
      <rPr>
        <sz val="11"/>
        <color rgb="FF000000"/>
        <rFont val="Calibri"/>
        <scheme val="minor"/>
      </rPr>
      <t xml:space="preserve">TRANSWORLD
</t>
    </r>
    <r>
      <rPr>
        <sz val="11"/>
        <color rgb="FFFFFFFF"/>
        <rFont val="Calibri"/>
        <scheme val="minor"/>
      </rPr>
      <t>COO Charged in JUNE'26 Invoicing</t>
    </r>
  </si>
  <si>
    <t>RPT/13461/2026 DTD 31.07.26</t>
  </si>
  <si>
    <t>RPT/13423/2026 DTD 17.07.26</t>
  </si>
  <si>
    <t>INF290726171356 DTD 29.07.26
INF290726171351 DTD 29.07.26</t>
  </si>
  <si>
    <t>50862254708 DTD 30.07.26</t>
  </si>
  <si>
    <t>DATE-035200 DTD 31.07.26</t>
  </si>
  <si>
    <t>INF290726171357 DTD 29.07.26</t>
  </si>
  <si>
    <t>RPT/13434/2026 DTD 20.07.26 || DN 93107806 - 4 Days Detention Charges due to the expired permit from Al Jazeera for the FASAH</t>
  </si>
  <si>
    <t>Eastman Seals - 50862254732 DTD 30.07.26</t>
  </si>
  <si>
    <t>EASTMAN ORDER DETAILS - August'2026</t>
  </si>
  <si>
    <t>INF300826172709 DTD 30.08.26</t>
  </si>
  <si>
    <t>JOTUN SAUDIA - YANBU</t>
  </si>
  <si>
    <t>INF300826172710 DTD 30.08.26</t>
  </si>
  <si>
    <t>INF300826172713 DTD 30.08.26</t>
  </si>
  <si>
    <t>50862255272 DTD 03.09.26</t>
  </si>
  <si>
    <t>RPT/13496/2026 DTD 12.08.26</t>
  </si>
  <si>
    <t>INF300826172715 DTD 30.08.26
INF300826172714 DTD 30.08.26</t>
  </si>
  <si>
    <t xml:space="preserve">
INF300826172717 DTD 30.08.26
INF300826172716 DTD 30.08.26</t>
  </si>
  <si>
    <t>INF300826172719 DTD 30.08.26
INF300826172718 DTD 30.08.26</t>
  </si>
  <si>
    <t>INF070926173085 DTD 07.09.26</t>
  </si>
  <si>
    <t>ARAWALI</t>
  </si>
  <si>
    <t>50862255269 DTD 03.09.26</t>
  </si>
  <si>
    <t>TWD/MFC Invoice is Received</t>
  </si>
  <si>
    <t>EASTMAN ORDER DETAILS - September'2026</t>
  </si>
  <si>
    <t>TRANSWORLD
COO Charged in AUG'26 Invoicing</t>
  </si>
  <si>
    <t>ON CALL</t>
  </si>
  <si>
    <t>MFC</t>
  </si>
  <si>
    <t>JOTUN SAUDIA - JEDDAH</t>
  </si>
  <si>
    <t>IBC</t>
  </si>
  <si>
    <t>EASTMAN Incoming Vessels- 2026</t>
  </si>
  <si>
    <t>invoiced to eastman</t>
  </si>
  <si>
    <t>Approved</t>
  </si>
  <si>
    <t>TEXANOL- 2026</t>
  </si>
  <si>
    <t>inspection done</t>
  </si>
  <si>
    <t>Pending</t>
  </si>
  <si>
    <t>AED</t>
  </si>
  <si>
    <t>S.NO.</t>
  </si>
  <si>
    <t xml:space="preserve">VESSEL NAME </t>
  </si>
  <si>
    <t>ETA</t>
  </si>
  <si>
    <t>ARRIVAL DATE</t>
  </si>
  <si>
    <t>Unit</t>
  </si>
  <si>
    <t>UNIT COUNT</t>
  </si>
  <si>
    <t>QTY(MT)</t>
  </si>
  <si>
    <t>OFFLOAD QTY</t>
  </si>
  <si>
    <t>OFFLOAD DATE</t>
  </si>
  <si>
    <t>ORDER #</t>
  </si>
  <si>
    <t>DN#</t>
  </si>
  <si>
    <t>ISOT#</t>
  </si>
  <si>
    <t>REMARKS</t>
  </si>
  <si>
    <t>&lt;=10 Days</t>
  </si>
  <si>
    <t>INV#</t>
  </si>
  <si>
    <t>NON-VAT INV</t>
  </si>
  <si>
    <t>VAT INV</t>
  </si>
  <si>
    <t>DETENTION</t>
  </si>
  <si>
    <t>MSC MICHAELA</t>
  </si>
  <si>
    <t>iso tanks</t>
  </si>
  <si>
    <t>EXFU6658621</t>
  </si>
  <si>
    <t>50862251014 DTD 13.01.26</t>
  </si>
  <si>
    <t>EXFU6716780</t>
  </si>
  <si>
    <t>FLNU6003497</t>
  </si>
  <si>
    <t>STBU2610532</t>
  </si>
  <si>
    <t>RDO CONCORD</t>
  </si>
  <si>
    <t>SUTU2460578</t>
  </si>
  <si>
    <t>50862251019 DTD 13.01.26</t>
  </si>
  <si>
    <t>SUTU2490422</t>
  </si>
  <si>
    <t>VTGU4253610</t>
  </si>
  <si>
    <t>VTGU4260986</t>
  </si>
  <si>
    <t>GREENLAND</t>
  </si>
  <si>
    <t>SIMU2595321</t>
  </si>
  <si>
    <t>50862251161 DTD 19.01.26</t>
  </si>
  <si>
    <t>SIMU2528690</t>
  </si>
  <si>
    <t>NPCU1253495</t>
  </si>
  <si>
    <t>CXTU1027143</t>
  </si>
  <si>
    <t>CLEMENTINE MAERSK</t>
  </si>
  <si>
    <t>BGBU4776829</t>
  </si>
  <si>
    <t>50862252063 DTD 23.02.26</t>
  </si>
  <si>
    <t>BGBU5026304</t>
  </si>
  <si>
    <t>BGBU5025859</t>
  </si>
  <si>
    <t>BGBU4776270</t>
  </si>
  <si>
    <t>EXFU0719571</t>
  </si>
  <si>
    <t>50862251938 DTD 17.02.26</t>
  </si>
  <si>
    <t>EXFU6632102</t>
  </si>
  <si>
    <t>RFCU8203247</t>
  </si>
  <si>
    <t>DHDU1370800</t>
  </si>
  <si>
    <t>50862251940 DTD 17.02.26</t>
  </si>
  <si>
    <t>SEGU8001996</t>
  </si>
  <si>
    <t>SLZU2826820</t>
  </si>
  <si>
    <t>COLOMBIA EXPRESS</t>
  </si>
  <si>
    <t>SUTU2460454</t>
  </si>
  <si>
    <t>50862252889 DTD 21.04.26</t>
  </si>
  <si>
    <t>SUTU2490037</t>
  </si>
  <si>
    <t>SUTU2490438</t>
  </si>
  <si>
    <t>SUTU2460639</t>
  </si>
  <si>
    <t>SIMU2609620</t>
  </si>
  <si>
    <t>50862251160 DTD 19.01.26</t>
  </si>
  <si>
    <t>SIMU2546564</t>
  </si>
  <si>
    <t>PCVU2596676</t>
  </si>
  <si>
    <t>SIMU2581760</t>
  </si>
  <si>
    <t>EPAMINONDAS</t>
  </si>
  <si>
    <t>SIFU1005632</t>
  </si>
  <si>
    <t>50862252381 DTD 10.03.26</t>
  </si>
  <si>
    <t>SIFU2440439</t>
  </si>
  <si>
    <t>SIMU2558890</t>
  </si>
  <si>
    <t>EXFU5668965</t>
  </si>
  <si>
    <t>MAERSK CHICAGO</t>
  </si>
  <si>
    <t>BGBU4758384</t>
  </si>
  <si>
    <t>50862251258 DTD 23.01.26</t>
  </si>
  <si>
    <t>BGBU4742198</t>
  </si>
  <si>
    <t>BGBU4730540</t>
  </si>
  <si>
    <t>MSC TAVVISHI</t>
  </si>
  <si>
    <t>SIMU2620450</t>
  </si>
  <si>
    <t>50862251423 DTD 28.01.26</t>
  </si>
  <si>
    <t>SIMU2529042</t>
  </si>
  <si>
    <t>SIMU2515080</t>
  </si>
  <si>
    <t>GMCU3067650</t>
  </si>
  <si>
    <t>MAERSK SEBAROK</t>
  </si>
  <si>
    <t>BGBU0801646</t>
  </si>
  <si>
    <t>50862252990 DTD 24.04.26</t>
  </si>
  <si>
    <t>BGBU0800402</t>
  </si>
  <si>
    <t>7548607368 DTD 29.04.26</t>
  </si>
  <si>
    <t>BGBU0803145</t>
  </si>
  <si>
    <t>278495 DTD 13.04.26</t>
  </si>
  <si>
    <t>BGBU0811388</t>
  </si>
  <si>
    <t>MAERSK OHIO</t>
  </si>
  <si>
    <t>DHDU1373142</t>
  </si>
  <si>
    <t>OMAN SALALAH PORT SHIPMENTS</t>
  </si>
  <si>
    <t>MAERSK 7546747128 DTD 26.03.26
MAERSK 7546750267 DTD 26.03.26
TI-26-04-00026 DTD 07.04.26
TI-26-04-00024 DTD 07.04.26
MCT-INV26000137 DTD 11.05.26</t>
  </si>
  <si>
    <t>EXFU4421950</t>
  </si>
  <si>
    <t>PCVU2665550</t>
  </si>
  <si>
    <t>EXFU6652011</t>
  </si>
  <si>
    <t>MUKU1151660</t>
  </si>
  <si>
    <t>DHDU2075076</t>
  </si>
  <si>
    <t>MSC KRYSTAL</t>
  </si>
  <si>
    <t>TCLU9006559</t>
  </si>
  <si>
    <t>50862253713 DTD 08.06.26</t>
  </si>
  <si>
    <t>SIMU2616234</t>
  </si>
  <si>
    <t>CRC/2026/000927 DTD 03.06.26</t>
  </si>
  <si>
    <t>SIMU2591331</t>
  </si>
  <si>
    <t>50862253985 DTD 24.06.26</t>
  </si>
  <si>
    <t>MAERSK SELETAR</t>
  </si>
  <si>
    <t>BGBU5025843</t>
  </si>
  <si>
    <t>EF6248390 DTD 18.05.26</t>
  </si>
  <si>
    <t>BGBU0806550</t>
  </si>
  <si>
    <t>50862253675 DTD 04.06.26</t>
  </si>
  <si>
    <t>BGBU4750300</t>
  </si>
  <si>
    <t>BGBU0805636</t>
  </si>
  <si>
    <t>MEXICO EXPRESS</t>
  </si>
  <si>
    <t>BGBU4767447</t>
  </si>
  <si>
    <t>50862253714 DTD 08.06.26</t>
  </si>
  <si>
    <t>BGBU4767302</t>
  </si>
  <si>
    <t>EF6248499 DTD 25.05.26</t>
  </si>
  <si>
    <t>BGBU4766625</t>
  </si>
  <si>
    <t>50862254115 DTD 30.06.26</t>
  </si>
  <si>
    <t>BGBU4731130</t>
  </si>
  <si>
    <t>50862253715 DTD 08.06.26</t>
  </si>
  <si>
    <t>BGBU5045156</t>
  </si>
  <si>
    <t>EF6248498 DTD 25.05.26</t>
  </si>
  <si>
    <t>BGBU5007900</t>
  </si>
  <si>
    <t>BGBU0804096</t>
  </si>
  <si>
    <t>MSC ARICA</t>
  </si>
  <si>
    <t>SIMU2576471</t>
  </si>
  <si>
    <t>50862253065 DTD 29.04.26</t>
  </si>
  <si>
    <t>SIMU2512482</t>
  </si>
  <si>
    <t>CRC/2026/000905 DTD 14.05.26</t>
  </si>
  <si>
    <t>SIMU2615053</t>
  </si>
  <si>
    <t>50862254639 DTD 28.07.26</t>
  </si>
  <si>
    <t>CXTU1156921</t>
  </si>
  <si>
    <t>MAERSK DETROIT</t>
  </si>
  <si>
    <t>HGTU9400119</t>
  </si>
  <si>
    <t>50862254432 DTD 17.07.26</t>
  </si>
  <si>
    <t>HOYU9637691</t>
  </si>
  <si>
    <t>HGTU9610584</t>
  </si>
  <si>
    <t>HGTU9620176</t>
  </si>
  <si>
    <t>HGTU2614103</t>
  </si>
  <si>
    <t>50862254431 DTD 17.07.26</t>
  </si>
  <si>
    <t>HOYU2628466</t>
  </si>
  <si>
    <t>HOYU9642419</t>
  </si>
  <si>
    <t>TCLU9062059</t>
  </si>
  <si>
    <t>MAERSK ATLANTA</t>
  </si>
  <si>
    <t>ISO tanks</t>
  </si>
  <si>
    <t>HOTU1402580</t>
  </si>
  <si>
    <t>50862254921 DTD 11.08.26</t>
  </si>
  <si>
    <t>TCLU9019113</t>
  </si>
  <si>
    <t>50862254922 DTD 11.08.26</t>
  </si>
  <si>
    <t>TCLU2592191</t>
  </si>
  <si>
    <t>TCLU9027741</t>
  </si>
  <si>
    <t>GESU8099975</t>
  </si>
  <si>
    <t>50862254923 DTD 11.08.26</t>
  </si>
  <si>
    <t>CXTU1136838</t>
  </si>
  <si>
    <t>TCLU9020454</t>
  </si>
  <si>
    <t>CXTU1136951</t>
  </si>
  <si>
    <t>MAERSK DENVER</t>
  </si>
  <si>
    <t>HGTU2402470</t>
  </si>
  <si>
    <t>50862255028 DTD 18.08.26</t>
  </si>
  <si>
    <t>HOTU9400497</t>
  </si>
  <si>
    <t>GESU8066800</t>
  </si>
  <si>
    <t>MAERSK SENANG</t>
  </si>
  <si>
    <t>HGTU4621020</t>
  </si>
  <si>
    <t>50862255031 DTD 18.08.26</t>
  </si>
  <si>
    <t>HGTU9622435</t>
  </si>
  <si>
    <t>HOYU9654106</t>
  </si>
  <si>
    <t>TCLU9010060</t>
  </si>
  <si>
    <t>GESU8067345</t>
  </si>
  <si>
    <t>50862255032 DTD 18.08.26</t>
  </si>
  <si>
    <t>EXFU0703620</t>
  </si>
  <si>
    <t>TIFU1768677</t>
  </si>
  <si>
    <t>HTGU2411338</t>
  </si>
  <si>
    <t>HGTU4618659</t>
  </si>
  <si>
    <t>50862255172 DTD 26.08.26</t>
  </si>
  <si>
    <t>HGTU4617014</t>
  </si>
  <si>
    <t>HGTU4628446</t>
  </si>
  <si>
    <t>HGTU4631820</t>
  </si>
  <si>
    <t>MAERSK GAIRLOCH</t>
  </si>
  <si>
    <t>CXTU1072250</t>
  </si>
  <si>
    <t>AED 465 per ISOT</t>
  </si>
  <si>
    <t>50862255293 DTD 04.09.26</t>
  </si>
  <si>
    <t>TCLU9070218</t>
  </si>
  <si>
    <t>TLLU9012950</t>
  </si>
  <si>
    <t>HGTU2400668</t>
  </si>
  <si>
    <t>CORNELIA MAERSK</t>
  </si>
  <si>
    <t>HSIU2410250</t>
  </si>
  <si>
    <t>HOYU2625913</t>
  </si>
  <si>
    <t>HGTU4620580</t>
  </si>
  <si>
    <t>HGTU4628180</t>
  </si>
  <si>
    <t>GESU8092287</t>
  </si>
  <si>
    <t>CXTU1156109</t>
  </si>
  <si>
    <t>TCLU9062948</t>
  </si>
  <si>
    <t>TCLU9064025</t>
  </si>
  <si>
    <t>TCLU2590840</t>
  </si>
  <si>
    <t>CRXU8702418</t>
  </si>
  <si>
    <t>EXFU0717413</t>
  </si>
  <si>
    <t>HGTU2405612</t>
  </si>
  <si>
    <t>HGTU4616770</t>
  </si>
  <si>
    <t>HGTU4633817</t>
  </si>
  <si>
    <t>HOYU2630015</t>
  </si>
  <si>
    <t>HGTU2418040</t>
  </si>
  <si>
    <t>RLTU2626928</t>
  </si>
  <si>
    <t>TCLU9013521</t>
  </si>
  <si>
    <t>HOYU9684733</t>
  </si>
  <si>
    <t>HOYU2628168</t>
  </si>
  <si>
    <t>HOYU2626627</t>
  </si>
  <si>
    <t>HOYU2628039</t>
  </si>
  <si>
    <t>HGTU4611994</t>
  </si>
  <si>
    <t>HGTU4615583</t>
  </si>
  <si>
    <t>HOYU9640838</t>
  </si>
  <si>
    <t>MAERSK SENTOSA</t>
  </si>
  <si>
    <t>TIFU1724067</t>
  </si>
  <si>
    <t>TCLU9070497</t>
  </si>
  <si>
    <t>TCLU9055614</t>
  </si>
  <si>
    <t>TCLU9011426</t>
  </si>
  <si>
    <t>HGTU4611783</t>
  </si>
  <si>
    <t>HGTU4633329</t>
  </si>
  <si>
    <t>TCVU3616889</t>
  </si>
  <si>
    <t>SEABROOK TX</t>
  </si>
  <si>
    <t>HGTU4614524</t>
  </si>
  <si>
    <t>HGTU4611607</t>
  </si>
  <si>
    <t xml:space="preserve">TIFU1724067 </t>
  </si>
  <si>
    <t xml:space="preserve">TCLU9070497 </t>
  </si>
  <si>
    <t xml:space="preserve">TCLU9055614 </t>
  </si>
  <si>
    <t xml:space="preserve">TCLU9011426 </t>
  </si>
  <si>
    <t>CXTU1125957</t>
  </si>
  <si>
    <t>TCLU9083426</t>
  </si>
  <si>
    <t>TCLU9051199</t>
  </si>
  <si>
    <t>TLLU9013068</t>
  </si>
  <si>
    <t>FPTU5010968</t>
  </si>
  <si>
    <t>ITTU3053507</t>
  </si>
  <si>
    <t>TCLU9049397</t>
  </si>
  <si>
    <t>IHOU3059186</t>
  </si>
  <si>
    <t>TQMU1855798</t>
  </si>
  <si>
    <t>MAERSK SAN VICENTE</t>
  </si>
  <si>
    <t>HGTU9615436</t>
  </si>
  <si>
    <t>TLLU9003959</t>
  </si>
  <si>
    <t>TCLU9018159</t>
  </si>
  <si>
    <t>SEGU8110636</t>
  </si>
  <si>
    <t>ITTU3053554</t>
  </si>
  <si>
    <t>ITTU1050807</t>
  </si>
  <si>
    <t>HOYU9660217</t>
  </si>
  <si>
    <t>HGTU4619505</t>
  </si>
  <si>
    <t>HGTU4630799</t>
  </si>
  <si>
    <t>EASTMAN Monthly Order Dispatches</t>
  </si>
  <si>
    <t>Month</t>
  </si>
  <si>
    <t xml:space="preserve">Qty </t>
  </si>
  <si>
    <t>No of Shipments</t>
  </si>
  <si>
    <t>No of Shipment by Road</t>
  </si>
  <si>
    <t>Transporter</t>
  </si>
  <si>
    <t>No of Shipment by sea</t>
  </si>
  <si>
    <t>Forwarders</t>
  </si>
  <si>
    <t>January'2026</t>
  </si>
  <si>
    <t>MT</t>
  </si>
  <si>
    <t>DATE - 3 - 30%
FCA BDP - 1 - 10%
GURDASPUR - 1- 10%
RAHID - 3 - 30%
SAJ - 2 - 20%</t>
  </si>
  <si>
    <t>GLW - 6 - 100%</t>
  </si>
  <si>
    <t>Tank 301</t>
  </si>
  <si>
    <t>February'2026</t>
  </si>
  <si>
    <t>DATE - 2 - 11%
FCA BDP - 1 - 6%
GURDASPUR - 6 - 33%
RAHID - 6 - 33%
SAJ - 3 - 17%</t>
  </si>
  <si>
    <t>DP WORLD - 1 - 33%
GLW - 2 - 67%</t>
  </si>
  <si>
    <t>Tank capacity</t>
  </si>
  <si>
    <t>mt</t>
  </si>
  <si>
    <t>March'2026</t>
  </si>
  <si>
    <t>DATE - 5 - 39%
FCA - 2 - 15%
GURDASPUR - 1 - 8%
RAHID - 3 - 23%
SAJ - 2 - 15%</t>
  </si>
  <si>
    <t>current stock</t>
  </si>
  <si>
    <t>April'2026</t>
  </si>
  <si>
    <t>DATE - 2 - 15%
FCA - 3 - 21%
GURDASPUR - 3 - 21%
LEASE - 1 - 7%
RAHID - 3 - 21%
SAJ - 2 - 15%</t>
  </si>
  <si>
    <t>space</t>
  </si>
  <si>
    <t>May'2026</t>
  </si>
  <si>
    <t>FCA - 1 - 7%
GURDASPUR - 6 - 36%
RAHID - 6 - 36%
SAJ - 3 - 21%</t>
  </si>
  <si>
    <t>Tentative deliveries</t>
  </si>
  <si>
    <t>WK 22</t>
  </si>
  <si>
    <t>June'2026</t>
  </si>
  <si>
    <t>DATE - 2 - 15%
FCA - 3 - 23%
GURDASPUR -  3 - 23%
LEASE - 3 - 24%
RAHID - 2 - 15%</t>
  </si>
  <si>
    <t>drumming</t>
  </si>
  <si>
    <t>DRUMS WK 22</t>
  </si>
  <si>
    <t>July'2026</t>
  </si>
  <si>
    <t>DATE - 1 - 11%
FCA - 1 - 11%
LEASE - 1 - 11%
RAHID - 6 - 67%</t>
  </si>
  <si>
    <t>ibc</t>
  </si>
  <si>
    <t>IBC- WK 22</t>
  </si>
  <si>
    <t>August'2026</t>
  </si>
  <si>
    <t>Space aftr</t>
  </si>
  <si>
    <t>September'2026</t>
  </si>
  <si>
    <t xml:space="preserve">Incoming </t>
  </si>
  <si>
    <t>October'2026</t>
  </si>
  <si>
    <t xml:space="preserve">Ullage to be created for </t>
  </si>
  <si>
    <t>November'2026</t>
  </si>
  <si>
    <t>December'2026</t>
  </si>
  <si>
    <t>stk as on 1st JAN'26</t>
  </si>
  <si>
    <t>delivered</t>
  </si>
  <si>
    <t>balance</t>
  </si>
  <si>
    <t>20 ibcs</t>
  </si>
  <si>
    <t>18 mt</t>
  </si>
  <si>
    <t>W125000159</t>
  </si>
  <si>
    <t>WK1</t>
  </si>
  <si>
    <t>stock on WK 5</t>
  </si>
  <si>
    <t>ibcs</t>
  </si>
  <si>
    <t>80 drums</t>
  </si>
  <si>
    <t>16 mt</t>
  </si>
  <si>
    <t>W125000160</t>
  </si>
  <si>
    <t>drums</t>
  </si>
  <si>
    <t>40 ibcs</t>
  </si>
  <si>
    <t>36 mt</t>
  </si>
  <si>
    <t>W125000162</t>
  </si>
  <si>
    <t>WK2</t>
  </si>
  <si>
    <t>WK 8</t>
  </si>
  <si>
    <t>bulk</t>
  </si>
  <si>
    <t>W125000161</t>
  </si>
  <si>
    <t xml:space="preserve">DRUMS - WK </t>
  </si>
  <si>
    <t>W125000167</t>
  </si>
  <si>
    <t>WK3</t>
  </si>
  <si>
    <t>EASTMAN Monthly -MFC</t>
  </si>
  <si>
    <t>IBC- WK</t>
  </si>
  <si>
    <t>W125000166</t>
  </si>
  <si>
    <t>W125000173</t>
  </si>
  <si>
    <t>WK4</t>
  </si>
  <si>
    <t>No of docs</t>
  </si>
  <si>
    <t xml:space="preserve">MFC Invoice Amount </t>
  </si>
  <si>
    <t xml:space="preserve">Incoming balance </t>
  </si>
  <si>
    <t>W125000172</t>
  </si>
  <si>
    <t>January'2025</t>
  </si>
  <si>
    <t>W126000002</t>
  </si>
  <si>
    <t>WK5</t>
  </si>
  <si>
    <t>February'2025</t>
  </si>
  <si>
    <t>160 drums</t>
  </si>
  <si>
    <t>32 mt</t>
  </si>
  <si>
    <t>W126000003</t>
  </si>
  <si>
    <t>March'2025</t>
  </si>
  <si>
    <t>April'2024</t>
  </si>
  <si>
    <t>May'2024</t>
  </si>
  <si>
    <t>June'2024</t>
  </si>
  <si>
    <t>July'2024</t>
  </si>
  <si>
    <t>August'2024</t>
  </si>
  <si>
    <t>September'2024</t>
  </si>
  <si>
    <t>stk as on 1st FEB'26</t>
  </si>
  <si>
    <t>W126000006</t>
  </si>
  <si>
    <t>WK6</t>
  </si>
  <si>
    <t>October'2024</t>
  </si>
  <si>
    <t>W126000005</t>
  </si>
  <si>
    <t>November'2024</t>
  </si>
  <si>
    <t>W126000007</t>
  </si>
  <si>
    <t>WK7</t>
  </si>
  <si>
    <t>December'2024</t>
  </si>
  <si>
    <t>W126000008</t>
  </si>
  <si>
    <t>W126000011</t>
  </si>
  <si>
    <t>WK8</t>
  </si>
  <si>
    <t>W126000015</t>
  </si>
  <si>
    <t>WK9</t>
  </si>
  <si>
    <t>W126000016</t>
  </si>
  <si>
    <t>stk as on 1st MARCH'26</t>
  </si>
  <si>
    <t>W126000020</t>
  </si>
  <si>
    <t>WK10</t>
  </si>
  <si>
    <t>W126000026</t>
  </si>
  <si>
    <t>WK11</t>
  </si>
  <si>
    <t>W126000035</t>
  </si>
  <si>
    <t>W126000030</t>
  </si>
  <si>
    <t>WK12</t>
  </si>
  <si>
    <t>240 drums</t>
  </si>
  <si>
    <t>48 mt</t>
  </si>
  <si>
    <t>W126000036</t>
  </si>
  <si>
    <t>W126000037</t>
  </si>
  <si>
    <t>WK13</t>
  </si>
  <si>
    <t>stk as on 1st APRIL'26</t>
  </si>
  <si>
    <t>W126000045</t>
  </si>
  <si>
    <t>WK14</t>
  </si>
  <si>
    <t>W126000046</t>
  </si>
  <si>
    <t>WK15</t>
  </si>
  <si>
    <t>W126000047</t>
  </si>
  <si>
    <t>WK16</t>
  </si>
  <si>
    <t>stk as on 1st MAY'26</t>
  </si>
  <si>
    <t>W126000048</t>
  </si>
  <si>
    <t>WK17</t>
  </si>
  <si>
    <t>W126000049</t>
  </si>
  <si>
    <t>WK18</t>
  </si>
  <si>
    <t>W126000062</t>
  </si>
  <si>
    <t>WK19</t>
  </si>
  <si>
    <t>stk as on 1st JUNE'26</t>
  </si>
  <si>
    <t>W126000072</t>
  </si>
  <si>
    <t>WK23</t>
  </si>
  <si>
    <t>W126000073</t>
  </si>
  <si>
    <t>WK24</t>
  </si>
  <si>
    <t>stk as on 1st JULY'26</t>
  </si>
  <si>
    <t>W126000074</t>
  </si>
  <si>
    <t>WK29</t>
  </si>
  <si>
    <t>W126000075</t>
  </si>
  <si>
    <t>WK30</t>
  </si>
  <si>
    <t>stk as on 1st AUG'26</t>
  </si>
  <si>
    <t>W126000076</t>
  </si>
  <si>
    <t>WK33</t>
  </si>
  <si>
    <t>WK34</t>
  </si>
  <si>
    <t>stk as on 1st SEP'26</t>
  </si>
  <si>
    <t>18 MT</t>
  </si>
  <si>
    <t>W126000077</t>
  </si>
  <si>
    <t>WK 37</t>
  </si>
  <si>
    <t>WK 38</t>
  </si>
  <si>
    <t>WK 39</t>
  </si>
  <si>
    <t>W126000078</t>
  </si>
  <si>
    <t>WK 40</t>
  </si>
  <si>
    <t>HSIU2616003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</si>
</sst>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0.000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0"/>
      <name val="Arial Unicode MS"/>
      <family val="2"/>
    </font>
    <font>
      <sz val="10"/>
      <color theme="1"/>
      <name val="Arial Unicode MS"/>
      <family val="2"/>
    </font>
    <font>
      <sz val="10"/>
      <name val="Arial Unicode MS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Aptos Narrow"/>
      <family val="2"/>
    </font>
    <font>
      <strike/>
      <sz val="11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8"/>
      <color theme="3"/>
      <name val="Calibri Light"/>
      <family val="2"/>
      <charset val="186"/>
      <scheme val="major"/>
    </font>
    <font>
      <b/>
      <sz val="15"/>
      <color theme="3"/>
      <name val="Calibri"/>
      <family val="2"/>
      <charset val="186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  <font>
      <sz val="11"/>
      <color rgb="FF9C6500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b/>
      <sz val="11"/>
      <color rgb="FF3F3F3F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sz val="11"/>
      <color rgb="FFFA7D00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i/>
      <sz val="11"/>
      <color rgb="FF7F7F7F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sz val="10"/>
      <name val="Arial"/>
      <family val="2"/>
      <charset val="204"/>
    </font>
    <font>
      <sz val="11"/>
      <color rgb="FF000000"/>
      <name val="Calibri"/>
      <scheme val="minor"/>
    </font>
    <font>
      <sz val="11"/>
      <color rgb="FFFFFFFF"/>
      <name val="Calibri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37">
    <xf numFmtId="0" fontId="0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61" applyNumberFormat="0" applyFill="0" applyAlignment="0" applyProtection="0"/>
    <xf numFmtId="0" fontId="26" fillId="0" borderId="62" applyNumberFormat="0" applyFill="0" applyAlignment="0" applyProtection="0"/>
    <xf numFmtId="0" fontId="27" fillId="0" borderId="63" applyNumberFormat="0" applyFill="0" applyAlignment="0" applyProtection="0"/>
    <xf numFmtId="0" fontId="27" fillId="0" borderId="0" applyNumberFormat="0" applyFill="0" applyBorder="0" applyAlignment="0" applyProtection="0"/>
    <xf numFmtId="0" fontId="28" fillId="17" borderId="0" applyNumberFormat="0" applyBorder="0" applyAlignment="0" applyProtection="0"/>
    <xf numFmtId="0" fontId="29" fillId="18" borderId="0" applyNumberFormat="0" applyBorder="0" applyAlignment="0" applyProtection="0"/>
    <xf numFmtId="0" fontId="30" fillId="19" borderId="0" applyNumberFormat="0" applyBorder="0" applyAlignment="0" applyProtection="0"/>
    <xf numFmtId="0" fontId="31" fillId="20" borderId="64" applyNumberFormat="0" applyAlignment="0" applyProtection="0"/>
    <xf numFmtId="0" fontId="32" fillId="21" borderId="65" applyNumberFormat="0" applyAlignment="0" applyProtection="0"/>
    <xf numFmtId="0" fontId="33" fillId="21" borderId="64" applyNumberFormat="0" applyAlignment="0" applyProtection="0"/>
    <xf numFmtId="0" fontId="34" fillId="0" borderId="66" applyNumberFormat="0" applyFill="0" applyAlignment="0" applyProtection="0"/>
    <xf numFmtId="0" fontId="35" fillId="22" borderId="67" applyNumberFormat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69" applyNumberFormat="0" applyFill="0" applyAlignment="0" applyProtection="0"/>
    <xf numFmtId="0" fontId="39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39" fillId="47" borderId="0" applyNumberFormat="0" applyBorder="0" applyAlignment="0" applyProtection="0"/>
    <xf numFmtId="0" fontId="40" fillId="0" borderId="0"/>
    <xf numFmtId="0" fontId="23" fillId="23" borderId="68" applyNumberFormat="0" applyFont="0" applyAlignment="0" applyProtection="0"/>
    <xf numFmtId="0" fontId="23" fillId="23" borderId="68" applyNumberFormat="0" applyFont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23" borderId="68" applyNumberFormat="0" applyFont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23" borderId="68" applyNumberFormat="0" applyFont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1" fillId="0" borderId="0"/>
    <xf numFmtId="0" fontId="23" fillId="23" borderId="68" applyNumberFormat="0" applyFont="0" applyAlignment="0" applyProtection="0"/>
    <xf numFmtId="0" fontId="23" fillId="23" borderId="68" applyNumberFormat="0" applyFont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23" borderId="68" applyNumberFormat="0" applyFont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23" borderId="68" applyNumberFormat="0" applyFont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</cellStyleXfs>
  <cellXfs count="639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4" borderId="0" xfId="0" applyFont="1" applyFill="1"/>
    <xf numFmtId="0" fontId="7" fillId="0" borderId="0" xfId="0" applyFont="1" applyAlignment="1">
      <alignment horizontal="left"/>
    </xf>
    <xf numFmtId="0" fontId="0" fillId="4" borderId="0" xfId="0" applyFill="1"/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0" fillId="6" borderId="0" xfId="0" applyFill="1"/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7" borderId="6" xfId="0" applyFill="1" applyBorder="1" applyAlignment="1">
      <alignment wrapText="1"/>
    </xf>
    <xf numFmtId="0" fontId="0" fillId="7" borderId="6" xfId="0" applyFill="1" applyBorder="1" applyAlignment="1">
      <alignment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2" fontId="0" fillId="0" borderId="6" xfId="0" applyNumberFormat="1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14" fontId="0" fillId="0" borderId="0" xfId="0" applyNumberFormat="1"/>
    <xf numFmtId="0" fontId="0" fillId="0" borderId="15" xfId="0" applyBorder="1"/>
    <xf numFmtId="0" fontId="0" fillId="0" borderId="16" xfId="0" applyBorder="1"/>
    <xf numFmtId="166" fontId="0" fillId="0" borderId="6" xfId="0" applyNumberFormat="1" applyBorder="1"/>
    <xf numFmtId="0" fontId="3" fillId="0" borderId="17" xfId="0" applyFont="1" applyBorder="1"/>
    <xf numFmtId="0" fontId="0" fillId="0" borderId="20" xfId="0" applyBorder="1"/>
    <xf numFmtId="0" fontId="3" fillId="0" borderId="21" xfId="0" applyFont="1" applyBorder="1"/>
    <xf numFmtId="0" fontId="0" fillId="0" borderId="22" xfId="0" applyBorder="1"/>
    <xf numFmtId="0" fontId="0" fillId="0" borderId="23" xfId="0" applyBorder="1"/>
    <xf numFmtId="2" fontId="0" fillId="0" borderId="0" xfId="0" applyNumberFormat="1"/>
    <xf numFmtId="0" fontId="0" fillId="8" borderId="18" xfId="0" applyFill="1" applyBorder="1"/>
    <xf numFmtId="0" fontId="0" fillId="8" borderId="24" xfId="0" applyFill="1" applyBorder="1"/>
    <xf numFmtId="2" fontId="0" fillId="8" borderId="24" xfId="0" applyNumberFormat="1" applyFill="1" applyBorder="1"/>
    <xf numFmtId="0" fontId="0" fillId="8" borderId="19" xfId="0" applyFill="1" applyBorder="1"/>
    <xf numFmtId="0" fontId="0" fillId="0" borderId="0" xfId="0" applyAlignment="1">
      <alignment horizontal="center" vertical="top"/>
    </xf>
    <xf numFmtId="2" fontId="4" fillId="0" borderId="6" xfId="0" applyNumberFormat="1" applyFont="1" applyBorder="1"/>
    <xf numFmtId="2" fontId="4" fillId="0" borderId="0" xfId="0" applyNumberFormat="1" applyFont="1"/>
    <xf numFmtId="2" fontId="0" fillId="0" borderId="6" xfId="0" applyNumberFormat="1" applyBorder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4" fontId="0" fillId="0" borderId="6" xfId="1" applyFont="1" applyBorder="1" applyAlignment="1">
      <alignment vertic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horizontal="center" vertical="top"/>
    </xf>
    <xf numFmtId="0" fontId="0" fillId="0" borderId="11" xfId="0" applyBorder="1"/>
    <xf numFmtId="164" fontId="4" fillId="0" borderId="6" xfId="1" applyFont="1" applyBorder="1"/>
    <xf numFmtId="0" fontId="7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9" borderId="0" xfId="0" applyFill="1"/>
    <xf numFmtId="0" fontId="0" fillId="0" borderId="25" xfId="0" applyBorder="1" applyAlignment="1">
      <alignment wrapText="1"/>
    </xf>
    <xf numFmtId="0" fontId="0" fillId="0" borderId="25" xfId="0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wrapText="1"/>
    </xf>
    <xf numFmtId="0" fontId="0" fillId="0" borderId="28" xfId="0" applyBorder="1" applyAlignment="1">
      <alignment vertical="center"/>
    </xf>
    <xf numFmtId="0" fontId="0" fillId="4" borderId="28" xfId="0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0" fillId="4" borderId="25" xfId="0" applyFill="1" applyBorder="1" applyAlignment="1">
      <alignment horizontal="left" vertical="center" wrapText="1"/>
    </xf>
    <xf numFmtId="165" fontId="7" fillId="4" borderId="25" xfId="0" applyNumberFormat="1" applyFont="1" applyFill="1" applyBorder="1" applyAlignment="1">
      <alignment horizontal="center" vertical="center" wrapText="1"/>
    </xf>
    <xf numFmtId="0" fontId="0" fillId="4" borderId="33" xfId="0" applyFill="1" applyBorder="1" applyAlignment="1">
      <alignment horizontal="center" vertical="center"/>
    </xf>
    <xf numFmtId="0" fontId="7" fillId="4" borderId="25" xfId="0" applyFont="1" applyFill="1" applyBorder="1" applyAlignment="1">
      <alignment horizontal="left" vertical="center"/>
    </xf>
    <xf numFmtId="2" fontId="0" fillId="4" borderId="25" xfId="0" applyNumberFormat="1" applyFill="1" applyBorder="1" applyAlignment="1">
      <alignment horizontal="center" vertical="center"/>
    </xf>
    <xf numFmtId="2" fontId="0" fillId="4" borderId="28" xfId="0" applyNumberFormat="1" applyFill="1" applyBorder="1" applyAlignment="1">
      <alignment horizontal="center" vertical="center"/>
    </xf>
    <xf numFmtId="0" fontId="0" fillId="4" borderId="25" xfId="0" applyFill="1" applyBorder="1" applyAlignment="1">
      <alignment wrapText="1"/>
    </xf>
    <xf numFmtId="165" fontId="15" fillId="4" borderId="28" xfId="0" applyNumberFormat="1" applyFont="1" applyFill="1" applyBorder="1" applyAlignment="1">
      <alignment horizontal="center" vertical="center" wrapText="1"/>
    </xf>
    <xf numFmtId="165" fontId="15" fillId="4" borderId="25" xfId="0" applyNumberFormat="1" applyFont="1" applyFill="1" applyBorder="1" applyAlignment="1">
      <alignment horizontal="center" vertical="center" wrapText="1"/>
    </xf>
    <xf numFmtId="0" fontId="0" fillId="0" borderId="25" xfId="0" applyBorder="1"/>
    <xf numFmtId="0" fontId="0" fillId="4" borderId="25" xfId="0" applyFill="1" applyBorder="1" applyAlignment="1">
      <alignment vertical="center"/>
    </xf>
    <xf numFmtId="0" fontId="16" fillId="4" borderId="28" xfId="0" applyFont="1" applyFill="1" applyBorder="1" applyAlignment="1">
      <alignment horizontal="center" vertical="center"/>
    </xf>
    <xf numFmtId="0" fontId="0" fillId="4" borderId="25" xfId="0" applyFill="1" applyBorder="1"/>
    <xf numFmtId="0" fontId="0" fillId="2" borderId="0" xfId="0" applyFill="1"/>
    <xf numFmtId="0" fontId="0" fillId="13" borderId="30" xfId="0" applyFill="1" applyBorder="1" applyAlignment="1">
      <alignment horizontal="left"/>
    </xf>
    <xf numFmtId="14" fontId="0" fillId="13" borderId="25" xfId="0" applyNumberFormat="1" applyFill="1" applyBorder="1" applyAlignment="1">
      <alignment horizontal="center"/>
    </xf>
    <xf numFmtId="0" fontId="0" fillId="13" borderId="25" xfId="0" applyFill="1" applyBorder="1" applyAlignment="1">
      <alignment horizontal="center"/>
    </xf>
    <xf numFmtId="0" fontId="0" fillId="4" borderId="30" xfId="0" applyFill="1" applyBorder="1" applyAlignment="1">
      <alignment horizontal="left"/>
    </xf>
    <xf numFmtId="0" fontId="0" fillId="12" borderId="25" xfId="0" applyFill="1" applyBorder="1"/>
    <xf numFmtId="2" fontId="0" fillId="0" borderId="25" xfId="0" applyNumberForma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 wrapText="1"/>
    </xf>
    <xf numFmtId="0" fontId="3" fillId="0" borderId="17" xfId="0" applyFont="1" applyBorder="1" applyAlignment="1">
      <alignment vertical="center"/>
    </xf>
    <xf numFmtId="166" fontId="0" fillId="4" borderId="25" xfId="0" applyNumberFormat="1" applyFill="1" applyBorder="1" applyAlignment="1">
      <alignment horizontal="center" vertical="center"/>
    </xf>
    <xf numFmtId="165" fontId="15" fillId="4" borderId="33" xfId="0" applyNumberFormat="1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center"/>
    </xf>
    <xf numFmtId="0" fontId="15" fillId="4" borderId="25" xfId="0" applyFont="1" applyFill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 wrapText="1"/>
    </xf>
    <xf numFmtId="0" fontId="0" fillId="0" borderId="30" xfId="0" applyBorder="1"/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5" xfId="0" applyBorder="1" applyAlignment="1">
      <alignment horizontal="left"/>
    </xf>
    <xf numFmtId="165" fontId="15" fillId="0" borderId="28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" fontId="0" fillId="0" borderId="0" xfId="0" applyNumberFormat="1"/>
    <xf numFmtId="166" fontId="0" fillId="0" borderId="0" xfId="0" applyNumberFormat="1"/>
    <xf numFmtId="0" fontId="0" fillId="4" borderId="33" xfId="0" applyFill="1" applyBorder="1"/>
    <xf numFmtId="0" fontId="0" fillId="4" borderId="25" xfId="0" applyFill="1" applyBorder="1" applyAlignment="1">
      <alignment horizontal="center"/>
    </xf>
    <xf numFmtId="15" fontId="0" fillId="4" borderId="25" xfId="0" applyNumberFormat="1" applyFill="1" applyBorder="1" applyAlignment="1">
      <alignment horizontal="center"/>
    </xf>
    <xf numFmtId="0" fontId="0" fillId="0" borderId="28" xfId="0" applyBorder="1" applyAlignment="1">
      <alignment horizontal="center"/>
    </xf>
    <xf numFmtId="16" fontId="0" fillId="14" borderId="25" xfId="0" applyNumberFormat="1" applyFill="1" applyBorder="1" applyAlignment="1">
      <alignment horizontal="center"/>
    </xf>
    <xf numFmtId="0" fontId="15" fillId="4" borderId="28" xfId="0" applyFont="1" applyFill="1" applyBorder="1" applyAlignment="1">
      <alignment vertical="center"/>
    </xf>
    <xf numFmtId="0" fontId="0" fillId="13" borderId="25" xfId="0" applyFill="1" applyBorder="1" applyAlignment="1">
      <alignment horizontal="left"/>
    </xf>
    <xf numFmtId="0" fontId="0" fillId="4" borderId="29" xfId="0" applyFill="1" applyBorder="1"/>
    <xf numFmtId="0" fontId="0" fillId="13" borderId="28" xfId="0" applyFill="1" applyBorder="1" applyAlignment="1">
      <alignment horizontal="left"/>
    </xf>
    <xf numFmtId="0" fontId="0" fillId="12" borderId="28" xfId="0" applyFill="1" applyBorder="1"/>
    <xf numFmtId="14" fontId="0" fillId="13" borderId="33" xfId="0" applyNumberFormat="1" applyFill="1" applyBorder="1" applyAlignment="1">
      <alignment horizontal="center"/>
    </xf>
    <xf numFmtId="0" fontId="0" fillId="13" borderId="30" xfId="0" applyFill="1" applyBorder="1" applyAlignment="1">
      <alignment horizontal="center"/>
    </xf>
    <xf numFmtId="0" fontId="0" fillId="13" borderId="35" xfId="0" applyFill="1" applyBorder="1" applyAlignment="1">
      <alignment horizontal="left"/>
    </xf>
    <xf numFmtId="0" fontId="0" fillId="13" borderId="37" xfId="0" applyFill="1" applyBorder="1" applyAlignment="1">
      <alignment horizontal="left"/>
    </xf>
    <xf numFmtId="14" fontId="0" fillId="13" borderId="26" xfId="0" applyNumberFormat="1" applyFill="1" applyBorder="1" applyAlignment="1">
      <alignment horizontal="center"/>
    </xf>
    <xf numFmtId="0" fontId="0" fillId="13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6" fillId="10" borderId="3" xfId="0" applyFont="1" applyFill="1" applyBorder="1" applyAlignment="1">
      <alignment horizontal="center" vertical="center" wrapText="1"/>
    </xf>
    <xf numFmtId="9" fontId="4" fillId="0" borderId="28" xfId="2" applyFont="1" applyBorder="1" applyAlignment="1">
      <alignment horizontal="center" vertical="center" wrapText="1"/>
    </xf>
    <xf numFmtId="9" fontId="4" fillId="0" borderId="25" xfId="2" applyFont="1" applyBorder="1" applyAlignment="1">
      <alignment horizontal="center" vertical="center" wrapText="1"/>
    </xf>
    <xf numFmtId="0" fontId="0" fillId="0" borderId="30" xfId="0" applyBorder="1" applyAlignment="1">
      <alignment wrapText="1"/>
    </xf>
    <xf numFmtId="165" fontId="15" fillId="0" borderId="29" xfId="0" applyNumberFormat="1" applyFont="1" applyBorder="1" applyAlignment="1">
      <alignment horizontal="center" vertical="center" wrapText="1"/>
    </xf>
    <xf numFmtId="165" fontId="7" fillId="4" borderId="31" xfId="0" applyNumberFormat="1" applyFont="1" applyFill="1" applyBorder="1" applyAlignment="1">
      <alignment horizontal="center" vertical="center" wrapText="1"/>
    </xf>
    <xf numFmtId="2" fontId="15" fillId="4" borderId="28" xfId="0" applyNumberFormat="1" applyFont="1" applyFill="1" applyBorder="1" applyAlignment="1">
      <alignment horizontal="center" vertical="center"/>
    </xf>
    <xf numFmtId="0" fontId="15" fillId="4" borderId="28" xfId="0" applyFont="1" applyFill="1" applyBorder="1" applyAlignment="1">
      <alignment horizontal="center" vertical="center"/>
    </xf>
    <xf numFmtId="165" fontId="15" fillId="4" borderId="29" xfId="0" applyNumberFormat="1" applyFont="1" applyFill="1" applyBorder="1" applyAlignment="1">
      <alignment horizontal="center" vertical="center" wrapText="1"/>
    </xf>
    <xf numFmtId="164" fontId="15" fillId="4" borderId="28" xfId="1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6" fillId="5" borderId="27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64" fontId="0" fillId="0" borderId="0" xfId="1" applyFont="1" applyAlignment="1">
      <alignment vertical="center"/>
    </xf>
    <xf numFmtId="164" fontId="0" fillId="5" borderId="27" xfId="1" applyFont="1" applyFill="1" applyBorder="1" applyAlignment="1">
      <alignment vertical="center"/>
    </xf>
    <xf numFmtId="0" fontId="15" fillId="0" borderId="25" xfId="0" applyFont="1" applyBorder="1" applyAlignment="1">
      <alignment horizontal="center" vertical="center"/>
    </xf>
    <xf numFmtId="0" fontId="15" fillId="0" borderId="25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left" vertical="center"/>
    </xf>
    <xf numFmtId="2" fontId="15" fillId="0" borderId="25" xfId="0" applyNumberFormat="1" applyFont="1" applyBorder="1" applyAlignment="1">
      <alignment horizontal="center" vertical="center"/>
    </xf>
    <xf numFmtId="164" fontId="15" fillId="0" borderId="25" xfId="1" applyFont="1" applyFill="1" applyBorder="1" applyAlignment="1">
      <alignment vertical="center"/>
    </xf>
    <xf numFmtId="0" fontId="15" fillId="0" borderId="28" xfId="0" applyFont="1" applyBorder="1" applyAlignment="1">
      <alignment horizontal="center" vertical="center"/>
    </xf>
    <xf numFmtId="164" fontId="15" fillId="0" borderId="28" xfId="1" applyFont="1" applyFill="1" applyBorder="1" applyAlignment="1">
      <alignment horizontal="center" vertical="center"/>
    </xf>
    <xf numFmtId="9" fontId="4" fillId="0" borderId="39" xfId="2" applyFont="1" applyBorder="1" applyAlignment="1">
      <alignment horizontal="center" vertical="center" wrapText="1"/>
    </xf>
    <xf numFmtId="0" fontId="15" fillId="4" borderId="25" xfId="0" applyFont="1" applyFill="1" applyBorder="1" applyAlignment="1">
      <alignment horizontal="left" vertical="center" wrapText="1"/>
    </xf>
    <xf numFmtId="2" fontId="15" fillId="4" borderId="25" xfId="0" applyNumberFormat="1" applyFont="1" applyFill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165" fontId="7" fillId="0" borderId="31" xfId="0" applyNumberFormat="1" applyFont="1" applyBorder="1" applyAlignment="1">
      <alignment horizontal="center" vertical="center" wrapText="1"/>
    </xf>
    <xf numFmtId="14" fontId="0" fillId="13" borderId="36" xfId="0" applyNumberFormat="1" applyFill="1" applyBorder="1" applyAlignment="1">
      <alignment horizontal="center"/>
    </xf>
    <xf numFmtId="0" fontId="0" fillId="13" borderId="36" xfId="0" applyFill="1" applyBorder="1" applyAlignment="1">
      <alignment horizontal="center"/>
    </xf>
    <xf numFmtId="0" fontId="15" fillId="4" borderId="33" xfId="0" applyFont="1" applyFill="1" applyBorder="1" applyAlignment="1">
      <alignment horizontal="center" vertical="center"/>
    </xf>
    <xf numFmtId="0" fontId="15" fillId="4" borderId="32" xfId="0" applyFont="1" applyFill="1" applyBorder="1" applyAlignment="1">
      <alignment horizontal="left" vertical="center"/>
    </xf>
    <xf numFmtId="164" fontId="15" fillId="4" borderId="25" xfId="1" applyFont="1" applyFill="1" applyBorder="1" applyAlignment="1">
      <alignment vertical="center"/>
    </xf>
    <xf numFmtId="164" fontId="15" fillId="4" borderId="35" xfId="1" applyFont="1" applyFill="1" applyBorder="1" applyAlignment="1">
      <alignment vertical="center"/>
    </xf>
    <xf numFmtId="166" fontId="0" fillId="0" borderId="25" xfId="0" applyNumberFormat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/>
    </xf>
    <xf numFmtId="0" fontId="15" fillId="10" borderId="28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0" fontId="15" fillId="4" borderId="36" xfId="0" applyFont="1" applyFill="1" applyBorder="1" applyAlignment="1">
      <alignment horizontal="left" vertical="center"/>
    </xf>
    <xf numFmtId="0" fontId="0" fillId="0" borderId="28" xfId="0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15" fillId="0" borderId="28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6" fillId="0" borderId="28" xfId="0" applyFont="1" applyBorder="1" applyAlignment="1">
      <alignment horizontal="center" vertical="center"/>
    </xf>
    <xf numFmtId="166" fontId="15" fillId="0" borderId="25" xfId="0" applyNumberFormat="1" applyFont="1" applyBorder="1" applyAlignment="1">
      <alignment horizontal="center" vertical="center"/>
    </xf>
    <xf numFmtId="9" fontId="4" fillId="0" borderId="35" xfId="2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2" fontId="19" fillId="0" borderId="0" xfId="0" applyNumberFormat="1" applyFont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center" vertical="center" wrapText="1"/>
    </xf>
    <xf numFmtId="165" fontId="19" fillId="0" borderId="0" xfId="0" applyNumberFormat="1" applyFont="1" applyAlignment="1">
      <alignment horizontal="center" vertical="center" wrapText="1"/>
    </xf>
    <xf numFmtId="164" fontId="19" fillId="0" borderId="0" xfId="1" applyFont="1" applyFill="1" applyBorder="1" applyAlignment="1">
      <alignment vertical="center" wrapText="1"/>
    </xf>
    <xf numFmtId="14" fontId="0" fillId="0" borderId="25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7" xfId="0" applyBorder="1" applyAlignment="1">
      <alignment horizontal="left"/>
    </xf>
    <xf numFmtId="14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34" xfId="0" applyBorder="1"/>
    <xf numFmtId="0" fontId="0" fillId="0" borderId="35" xfId="0" applyBorder="1" applyAlignment="1">
      <alignment horizontal="left"/>
    </xf>
    <xf numFmtId="0" fontId="6" fillId="3" borderId="14" xfId="0" applyFont="1" applyFill="1" applyBorder="1" applyAlignment="1">
      <alignment horizontal="center" vertical="center" wrapText="1"/>
    </xf>
    <xf numFmtId="165" fontId="7" fillId="4" borderId="41" xfId="0" applyNumberFormat="1" applyFont="1" applyFill="1" applyBorder="1" applyAlignment="1">
      <alignment horizontal="center" vertical="center" wrapText="1"/>
    </xf>
    <xf numFmtId="0" fontId="15" fillId="11" borderId="30" xfId="0" applyFont="1" applyFill="1" applyBorder="1" applyAlignment="1">
      <alignment horizontal="center" vertical="center"/>
    </xf>
    <xf numFmtId="4" fontId="0" fillId="11" borderId="0" xfId="0" applyNumberFormat="1" applyFill="1"/>
    <xf numFmtId="0" fontId="0" fillId="13" borderId="31" xfId="0" applyFill="1" applyBorder="1" applyAlignment="1">
      <alignment horizontal="left"/>
    </xf>
    <xf numFmtId="14" fontId="0" fillId="13" borderId="32" xfId="0" applyNumberFormat="1" applyFill="1" applyBorder="1" applyAlignment="1">
      <alignment horizontal="center"/>
    </xf>
    <xf numFmtId="0" fontId="0" fillId="13" borderId="28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4" fontId="0" fillId="0" borderId="0" xfId="0" applyNumberFormat="1"/>
    <xf numFmtId="16" fontId="0" fillId="0" borderId="25" xfId="0" applyNumberFormat="1" applyBorder="1" applyAlignment="1">
      <alignment horizontal="center"/>
    </xf>
    <xf numFmtId="0" fontId="0" fillId="0" borderId="28" xfId="0" applyBorder="1"/>
    <xf numFmtId="0" fontId="0" fillId="0" borderId="28" xfId="0" applyBorder="1" applyAlignment="1">
      <alignment horizontal="left"/>
    </xf>
    <xf numFmtId="0" fontId="0" fillId="0" borderId="33" xfId="0" applyBorder="1"/>
    <xf numFmtId="0" fontId="18" fillId="0" borderId="0" xfId="0" applyFont="1" applyAlignment="1">
      <alignment horizontal="center" readingOrder="1"/>
    </xf>
    <xf numFmtId="0" fontId="0" fillId="0" borderId="29" xfId="0" applyBorder="1"/>
    <xf numFmtId="14" fontId="0" fillId="0" borderId="33" xfId="0" applyNumberFormat="1" applyBorder="1" applyAlignment="1">
      <alignment horizontal="center"/>
    </xf>
    <xf numFmtId="14" fontId="0" fillId="0" borderId="36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1" xfId="0" applyBorder="1" applyAlignment="1">
      <alignment horizontal="left"/>
    </xf>
    <xf numFmtId="14" fontId="0" fillId="0" borderId="32" xfId="0" applyNumberFormat="1" applyBorder="1" applyAlignment="1">
      <alignment horizontal="center"/>
    </xf>
    <xf numFmtId="15" fontId="0" fillId="0" borderId="0" xfId="0" applyNumberFormat="1" applyAlignment="1">
      <alignment horizontal="center"/>
    </xf>
    <xf numFmtId="0" fontId="13" fillId="0" borderId="0" xfId="0" applyFont="1" applyAlignment="1">
      <alignment horizontal="left" wrapText="1"/>
    </xf>
    <xf numFmtId="165" fontId="12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/>
    </xf>
    <xf numFmtId="165" fontId="12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/>
    <xf numFmtId="15" fontId="1" fillId="0" borderId="0" xfId="0" applyNumberFormat="1" applyFont="1" applyAlignment="1">
      <alignment horizontal="left"/>
    </xf>
    <xf numFmtId="0" fontId="7" fillId="0" borderId="0" xfId="0" applyFont="1"/>
    <xf numFmtId="0" fontId="15" fillId="0" borderId="0" xfId="0" applyFont="1"/>
    <xf numFmtId="15" fontId="0" fillId="0" borderId="0" xfId="0" applyNumberFormat="1" applyAlignment="1">
      <alignment horizontal="left"/>
    </xf>
    <xf numFmtId="0" fontId="3" fillId="0" borderId="0" xfId="0" applyFont="1"/>
    <xf numFmtId="15" fontId="0" fillId="0" borderId="0" xfId="0" applyNumberFormat="1" applyAlignment="1">
      <alignment horizontal="left" wrapText="1"/>
    </xf>
    <xf numFmtId="15" fontId="0" fillId="4" borderId="25" xfId="0" applyNumberFormat="1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12" borderId="35" xfId="0" applyFill="1" applyBorder="1"/>
    <xf numFmtId="14" fontId="0" fillId="13" borderId="30" xfId="0" applyNumberFormat="1" applyFill="1" applyBorder="1" applyAlignment="1">
      <alignment horizontal="center"/>
    </xf>
    <xf numFmtId="0" fontId="0" fillId="13" borderId="33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5" fontId="0" fillId="4" borderId="35" xfId="0" applyNumberFormat="1" applyFill="1" applyBorder="1" applyAlignment="1">
      <alignment horizontal="center"/>
    </xf>
    <xf numFmtId="0" fontId="7" fillId="4" borderId="28" xfId="0" applyFont="1" applyFill="1" applyBorder="1" applyAlignment="1">
      <alignment horizontal="left" vertical="center"/>
    </xf>
    <xf numFmtId="164" fontId="15" fillId="4" borderId="28" xfId="1" applyFont="1" applyFill="1" applyBorder="1" applyAlignment="1">
      <alignment vertical="center"/>
    </xf>
    <xf numFmtId="0" fontId="15" fillId="4" borderId="25" xfId="0" applyFont="1" applyFill="1" applyBorder="1" applyAlignment="1">
      <alignment horizontal="left" vertical="center"/>
    </xf>
    <xf numFmtId="2" fontId="0" fillId="0" borderId="6" xfId="0" applyNumberFormat="1" applyBorder="1" applyAlignment="1">
      <alignment horizontal="center" vertical="center"/>
    </xf>
    <xf numFmtId="166" fontId="0" fillId="4" borderId="6" xfId="0" applyNumberFormat="1" applyFill="1" applyBorder="1"/>
    <xf numFmtId="0" fontId="0" fillId="4" borderId="6" xfId="0" applyFill="1" applyBorder="1"/>
    <xf numFmtId="0" fontId="15" fillId="4" borderId="25" xfId="0" applyFont="1" applyFill="1" applyBorder="1" applyAlignment="1">
      <alignment vertical="center"/>
    </xf>
    <xf numFmtId="164" fontId="0" fillId="4" borderId="25" xfId="1" applyFont="1" applyFill="1" applyBorder="1" applyAlignment="1">
      <alignment vertical="center" wrapText="1"/>
    </xf>
    <xf numFmtId="9" fontId="4" fillId="0" borderId="28" xfId="2" applyFont="1" applyFill="1" applyBorder="1" applyAlignment="1">
      <alignment horizontal="center" vertical="center" wrapText="1"/>
    </xf>
    <xf numFmtId="0" fontId="7" fillId="4" borderId="32" xfId="0" applyFont="1" applyFill="1" applyBorder="1" applyAlignment="1">
      <alignment horizontal="left" vertical="center"/>
    </xf>
    <xf numFmtId="165" fontId="0" fillId="4" borderId="25" xfId="0" applyNumberFormat="1" applyFill="1" applyBorder="1" applyAlignment="1">
      <alignment horizontal="center" vertical="center" wrapText="1"/>
    </xf>
    <xf numFmtId="165" fontId="7" fillId="4" borderId="28" xfId="0" applyNumberFormat="1" applyFont="1" applyFill="1" applyBorder="1" applyAlignment="1">
      <alignment horizontal="center" vertical="center" wrapText="1"/>
    </xf>
    <xf numFmtId="164" fontId="0" fillId="4" borderId="25" xfId="1" applyFont="1" applyFill="1" applyBorder="1" applyAlignment="1">
      <alignment vertical="center"/>
    </xf>
    <xf numFmtId="0" fontId="0" fillId="4" borderId="33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7" fillId="11" borderId="28" xfId="0" applyFont="1" applyFill="1" applyBorder="1" applyAlignment="1">
      <alignment horizontal="center" vertical="center"/>
    </xf>
    <xf numFmtId="0" fontId="15" fillId="11" borderId="33" xfId="0" applyFont="1" applyFill="1" applyBorder="1" applyAlignment="1">
      <alignment horizontal="center" vertical="center"/>
    </xf>
    <xf numFmtId="0" fontId="7" fillId="11" borderId="38" xfId="0" applyFont="1" applyFill="1" applyBorder="1" applyAlignment="1">
      <alignment horizontal="center" vertical="center"/>
    </xf>
    <xf numFmtId="165" fontId="7" fillId="4" borderId="30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/>
    </xf>
    <xf numFmtId="0" fontId="0" fillId="4" borderId="28" xfId="0" applyFill="1" applyBorder="1" applyAlignment="1">
      <alignment wrapText="1"/>
    </xf>
    <xf numFmtId="0" fontId="0" fillId="4" borderId="28" xfId="0" applyFill="1" applyBorder="1" applyAlignment="1">
      <alignment vertical="center"/>
    </xf>
    <xf numFmtId="0" fontId="0" fillId="4" borderId="30" xfId="0" applyFill="1" applyBorder="1" applyAlignment="1">
      <alignment wrapText="1"/>
    </xf>
    <xf numFmtId="166" fontId="15" fillId="4" borderId="25" xfId="0" applyNumberFormat="1" applyFont="1" applyFill="1" applyBorder="1" applyAlignment="1">
      <alignment horizontal="center" vertical="center"/>
    </xf>
    <xf numFmtId="164" fontId="15" fillId="4" borderId="28" xfId="1" applyFont="1" applyFill="1" applyBorder="1" applyAlignment="1">
      <alignment horizontal="center" vertical="center"/>
    </xf>
    <xf numFmtId="4" fontId="0" fillId="4" borderId="30" xfId="0" applyNumberFormat="1" applyFill="1" applyBorder="1" applyAlignment="1">
      <alignment vertical="center"/>
    </xf>
    <xf numFmtId="164" fontId="15" fillId="4" borderId="25" xfId="1" applyFont="1" applyFill="1" applyBorder="1" applyAlignment="1">
      <alignment vertical="center" wrapText="1"/>
    </xf>
    <xf numFmtId="164" fontId="15" fillId="4" borderId="30" xfId="1" applyFont="1" applyFill="1" applyBorder="1" applyAlignment="1">
      <alignment vertical="center"/>
    </xf>
    <xf numFmtId="164" fontId="15" fillId="4" borderId="31" xfId="1" applyFont="1" applyFill="1" applyBorder="1" applyAlignment="1">
      <alignment vertical="center" wrapText="1"/>
    </xf>
    <xf numFmtId="164" fontId="15" fillId="4" borderId="31" xfId="1" applyFont="1" applyFill="1" applyBorder="1" applyAlignment="1">
      <alignment vertical="center"/>
    </xf>
    <xf numFmtId="0" fontId="7" fillId="11" borderId="25" xfId="0" applyFont="1" applyFill="1" applyBorder="1" applyAlignment="1">
      <alignment horizontal="center" vertical="center"/>
    </xf>
    <xf numFmtId="164" fontId="15" fillId="4" borderId="31" xfId="1" applyFont="1" applyFill="1" applyBorder="1" applyAlignment="1">
      <alignment horizontal="left" vertical="center" wrapText="1"/>
    </xf>
    <xf numFmtId="164" fontId="15" fillId="4" borderId="29" xfId="1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horizontal="center" vertical="center"/>
    </xf>
    <xf numFmtId="0" fontId="0" fillId="11" borderId="0" xfId="0" applyFill="1"/>
    <xf numFmtId="0" fontId="0" fillId="4" borderId="30" xfId="0" applyFill="1" applyBorder="1" applyAlignment="1">
      <alignment horizontal="left" vertical="center" wrapText="1"/>
    </xf>
    <xf numFmtId="0" fontId="0" fillId="4" borderId="29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3" fillId="0" borderId="25" xfId="0" applyFont="1" applyBorder="1" applyAlignment="1">
      <alignment horizontal="left" vertical="center" wrapText="1"/>
    </xf>
    <xf numFmtId="2" fontId="3" fillId="0" borderId="25" xfId="0" applyNumberFormat="1" applyFont="1" applyBorder="1" applyAlignment="1">
      <alignment horizontal="center" vertical="center"/>
    </xf>
    <xf numFmtId="166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5" fontId="3" fillId="0" borderId="25" xfId="0" applyNumberFormat="1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center"/>
    </xf>
    <xf numFmtId="0" fontId="3" fillId="0" borderId="33" xfId="0" applyFont="1" applyBorder="1" applyAlignment="1">
      <alignment horizontal="center" vertical="center"/>
    </xf>
    <xf numFmtId="0" fontId="3" fillId="0" borderId="36" xfId="0" applyFont="1" applyBorder="1" applyAlignment="1">
      <alignment horizontal="left" vertical="center"/>
    </xf>
    <xf numFmtId="0" fontId="3" fillId="0" borderId="28" xfId="0" applyFont="1" applyBorder="1" applyAlignment="1">
      <alignment horizontal="center" vertical="center"/>
    </xf>
    <xf numFmtId="165" fontId="3" fillId="0" borderId="28" xfId="0" applyNumberFormat="1" applyFont="1" applyBorder="1" applyAlignment="1">
      <alignment horizontal="center" vertical="center" wrapText="1"/>
    </xf>
    <xf numFmtId="165" fontId="3" fillId="0" borderId="29" xfId="0" applyNumberFormat="1" applyFont="1" applyBorder="1" applyAlignment="1">
      <alignment horizontal="center" vertical="center" wrapText="1"/>
    </xf>
    <xf numFmtId="164" fontId="15" fillId="4" borderId="30" xfId="1" applyFont="1" applyFill="1" applyBorder="1" applyAlignment="1">
      <alignment vertical="center" wrapText="1"/>
    </xf>
    <xf numFmtId="164" fontId="15" fillId="4" borderId="25" xfId="1" applyFont="1" applyFill="1" applyBorder="1" applyAlignment="1">
      <alignment horizontal="center" vertical="center"/>
    </xf>
    <xf numFmtId="0" fontId="0" fillId="15" borderId="25" xfId="0" applyFill="1" applyBorder="1" applyAlignment="1">
      <alignment horizontal="center"/>
    </xf>
    <xf numFmtId="15" fontId="0" fillId="15" borderId="25" xfId="0" applyNumberFormat="1" applyFill="1" applyBorder="1" applyAlignment="1">
      <alignment horizontal="center"/>
    </xf>
    <xf numFmtId="0" fontId="0" fillId="15" borderId="33" xfId="0" applyFill="1" applyBorder="1" applyAlignment="1">
      <alignment horizontal="center"/>
    </xf>
    <xf numFmtId="0" fontId="0" fillId="15" borderId="30" xfId="0" applyFill="1" applyBorder="1" applyAlignment="1">
      <alignment horizontal="center"/>
    </xf>
    <xf numFmtId="164" fontId="15" fillId="4" borderId="37" xfId="1" applyFont="1" applyFill="1" applyBorder="1" applyAlignment="1">
      <alignment vertical="center" wrapText="1"/>
    </xf>
    <xf numFmtId="164" fontId="15" fillId="4" borderId="37" xfId="1" applyFont="1" applyFill="1" applyBorder="1" applyAlignment="1">
      <alignment vertical="center"/>
    </xf>
    <xf numFmtId="0" fontId="3" fillId="0" borderId="32" xfId="0" applyFont="1" applyBorder="1" applyAlignment="1">
      <alignment horizontal="left" vertical="center"/>
    </xf>
    <xf numFmtId="2" fontId="3" fillId="0" borderId="28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164" fontId="3" fillId="0" borderId="0" xfId="1" applyFont="1" applyFill="1" applyBorder="1" applyAlignment="1">
      <alignment vertical="center"/>
    </xf>
    <xf numFmtId="165" fontId="3" fillId="0" borderId="33" xfId="0" applyNumberFormat="1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 wrapText="1"/>
    </xf>
    <xf numFmtId="9" fontId="4" fillId="0" borderId="25" xfId="2" applyFont="1" applyFill="1" applyBorder="1" applyAlignment="1">
      <alignment horizontal="center" vertical="center" wrapText="1"/>
    </xf>
    <xf numFmtId="164" fontId="15" fillId="4" borderId="5" xfId="1" applyFont="1" applyFill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15" fillId="4" borderId="35" xfId="1" applyFont="1" applyFill="1" applyBorder="1" applyAlignment="1">
      <alignment horizontal="center" vertical="center"/>
    </xf>
    <xf numFmtId="4" fontId="0" fillId="4" borderId="25" xfId="0" applyNumberFormat="1" applyFill="1" applyBorder="1" applyAlignment="1">
      <alignment vertical="center"/>
    </xf>
    <xf numFmtId="164" fontId="15" fillId="4" borderId="33" xfId="1" applyFont="1" applyFill="1" applyBorder="1" applyAlignment="1">
      <alignment vertical="center"/>
    </xf>
    <xf numFmtId="164" fontId="15" fillId="0" borderId="0" xfId="1" applyFont="1" applyFill="1" applyBorder="1" applyAlignment="1">
      <alignment vertical="center"/>
    </xf>
    <xf numFmtId="165" fontId="15" fillId="4" borderId="31" xfId="0" applyNumberFormat="1" applyFont="1" applyFill="1" applyBorder="1" applyAlignment="1">
      <alignment horizontal="center" vertical="center" wrapText="1"/>
    </xf>
    <xf numFmtId="0" fontId="0" fillId="5" borderId="0" xfId="0" applyFill="1"/>
    <xf numFmtId="164" fontId="15" fillId="4" borderId="31" xfId="1" applyFont="1" applyFill="1" applyBorder="1" applyAlignment="1">
      <alignment wrapText="1"/>
    </xf>
    <xf numFmtId="16" fontId="0" fillId="13" borderId="25" xfId="0" applyNumberFormat="1" applyFill="1" applyBorder="1" applyAlignment="1">
      <alignment horizontal="center"/>
    </xf>
    <xf numFmtId="165" fontId="7" fillId="0" borderId="30" xfId="0" applyNumberFormat="1" applyFont="1" applyBorder="1" applyAlignment="1">
      <alignment horizontal="center" vertical="center" wrapText="1"/>
    </xf>
    <xf numFmtId="2" fontId="15" fillId="0" borderId="28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/>
    </xf>
    <xf numFmtId="165" fontId="7" fillId="0" borderId="28" xfId="0" applyNumberFormat="1" applyFont="1" applyBorder="1" applyAlignment="1">
      <alignment horizontal="center" vertical="center" wrapText="1"/>
    </xf>
    <xf numFmtId="0" fontId="15" fillId="12" borderId="25" xfId="0" applyFont="1" applyFill="1" applyBorder="1"/>
    <xf numFmtId="164" fontId="15" fillId="0" borderId="31" xfId="1" applyFont="1" applyFill="1" applyBorder="1" applyAlignment="1">
      <alignment wrapText="1"/>
    </xf>
    <xf numFmtId="165" fontId="0" fillId="0" borderId="25" xfId="0" applyNumberFormat="1" applyBorder="1" applyAlignment="1">
      <alignment horizontal="center" vertical="center" wrapText="1"/>
    </xf>
    <xf numFmtId="165" fontId="0" fillId="4" borderId="33" xfId="0" applyNumberFormat="1" applyFill="1" applyBorder="1" applyAlignment="1">
      <alignment horizontal="center" vertical="center" wrapText="1"/>
    </xf>
    <xf numFmtId="0" fontId="0" fillId="15" borderId="28" xfId="0" applyFill="1" applyBorder="1" applyAlignment="1">
      <alignment horizontal="center"/>
    </xf>
    <xf numFmtId="15" fontId="0" fillId="15" borderId="28" xfId="0" applyNumberFormat="1" applyFill="1" applyBorder="1" applyAlignment="1">
      <alignment horizontal="center"/>
    </xf>
    <xf numFmtId="0" fontId="15" fillId="11" borderId="29" xfId="0" applyFont="1" applyFill="1" applyBorder="1" applyAlignment="1">
      <alignment horizontal="center" vertical="center"/>
    </xf>
    <xf numFmtId="164" fontId="15" fillId="4" borderId="39" xfId="1" applyFont="1" applyFill="1" applyBorder="1" applyAlignment="1">
      <alignment vertical="center"/>
    </xf>
    <xf numFmtId="9" fontId="4" fillId="4" borderId="28" xfId="2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left" vertical="center" wrapText="1"/>
    </xf>
    <xf numFmtId="0" fontId="3" fillId="4" borderId="25" xfId="0" applyFont="1" applyFill="1" applyBorder="1" applyAlignment="1">
      <alignment horizontal="left" vertical="center"/>
    </xf>
    <xf numFmtId="2" fontId="3" fillId="4" borderId="25" xfId="0" applyNumberFormat="1" applyFont="1" applyFill="1" applyBorder="1" applyAlignment="1">
      <alignment horizontal="center" vertical="center"/>
    </xf>
    <xf numFmtId="166" fontId="3" fillId="4" borderId="25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165" fontId="3" fillId="4" borderId="25" xfId="0" applyNumberFormat="1" applyFont="1" applyFill="1" applyBorder="1" applyAlignment="1">
      <alignment horizontal="center" vertical="center" wrapText="1"/>
    </xf>
    <xf numFmtId="165" fontId="3" fillId="4" borderId="30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6" fillId="3" borderId="43" xfId="0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14" fontId="0" fillId="13" borderId="30" xfId="0" applyNumberFormat="1" applyFill="1" applyBorder="1" applyAlignment="1">
      <alignment horizontal="left"/>
    </xf>
    <xf numFmtId="14" fontId="0" fillId="13" borderId="31" xfId="0" applyNumberFormat="1" applyFill="1" applyBorder="1" applyAlignment="1">
      <alignment horizontal="left"/>
    </xf>
    <xf numFmtId="14" fontId="0" fillId="13" borderId="31" xfId="0" applyNumberFormat="1" applyFill="1" applyBorder="1" applyAlignment="1">
      <alignment horizontal="center"/>
    </xf>
    <xf numFmtId="0" fontId="0" fillId="13" borderId="29" xfId="0" applyFill="1" applyBorder="1" applyAlignment="1">
      <alignment horizontal="center"/>
    </xf>
    <xf numFmtId="0" fontId="0" fillId="4" borderId="30" xfId="0" applyFill="1" applyBorder="1" applyAlignment="1">
      <alignment vertical="center"/>
    </xf>
    <xf numFmtId="0" fontId="0" fillId="4" borderId="47" xfId="0" applyFill="1" applyBorder="1"/>
    <xf numFmtId="0" fontId="0" fillId="11" borderId="48" xfId="0" applyFill="1" applyBorder="1"/>
    <xf numFmtId="0" fontId="0" fillId="4" borderId="49" xfId="0" applyFill="1" applyBorder="1"/>
    <xf numFmtId="0" fontId="0" fillId="4" borderId="50" xfId="0" applyFill="1" applyBorder="1"/>
    <xf numFmtId="0" fontId="0" fillId="4" borderId="51" xfId="0" applyFill="1" applyBorder="1"/>
    <xf numFmtId="0" fontId="0" fillId="4" borderId="52" xfId="0" applyFill="1" applyBorder="1"/>
    <xf numFmtId="0" fontId="0" fillId="4" borderId="54" xfId="0" applyFill="1" applyBorder="1"/>
    <xf numFmtId="166" fontId="0" fillId="4" borderId="33" xfId="0" applyNumberFormat="1" applyFill="1" applyBorder="1" applyAlignment="1">
      <alignment horizontal="center"/>
    </xf>
    <xf numFmtId="4" fontId="0" fillId="11" borderId="48" xfId="0" applyNumberFormat="1" applyFill="1" applyBorder="1"/>
    <xf numFmtId="0" fontId="0" fillId="11" borderId="53" xfId="0" applyFill="1" applyBorder="1"/>
    <xf numFmtId="164" fontId="15" fillId="4" borderId="33" xfId="1" applyFont="1" applyFill="1" applyBorder="1" applyAlignment="1">
      <alignment vertical="center" wrapText="1"/>
    </xf>
    <xf numFmtId="164" fontId="15" fillId="4" borderId="36" xfId="1" applyFont="1" applyFill="1" applyBorder="1" applyAlignment="1">
      <alignment vertical="center"/>
    </xf>
    <xf numFmtId="9" fontId="4" fillId="0" borderId="39" xfId="2" applyFont="1" applyFill="1" applyBorder="1" applyAlignment="1">
      <alignment horizontal="center" vertical="center" wrapText="1"/>
    </xf>
    <xf numFmtId="165" fontId="15" fillId="0" borderId="3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5" fillId="0" borderId="0" xfId="0" applyFont="1" applyAlignment="1">
      <alignment readingOrder="1"/>
    </xf>
    <xf numFmtId="164" fontId="15" fillId="0" borderId="33" xfId="1" applyFont="1" applyFill="1" applyBorder="1" applyAlignment="1">
      <alignment vertical="center" wrapText="1"/>
    </xf>
    <xf numFmtId="0" fontId="15" fillId="4" borderId="28" xfId="0" applyFont="1" applyFill="1" applyBorder="1" applyAlignment="1">
      <alignment horizontal="left" vertical="center" wrapText="1"/>
    </xf>
    <xf numFmtId="0" fontId="15" fillId="4" borderId="28" xfId="0" applyFont="1" applyFill="1" applyBorder="1" applyAlignment="1">
      <alignment horizontal="left" vertical="center"/>
    </xf>
    <xf numFmtId="9" fontId="4" fillId="0" borderId="35" xfId="2" applyFont="1" applyFill="1" applyBorder="1" applyAlignment="1">
      <alignment horizontal="center" vertical="center" wrapText="1"/>
    </xf>
    <xf numFmtId="0" fontId="7" fillId="11" borderId="35" xfId="0" applyFont="1" applyFill="1" applyBorder="1" applyAlignment="1">
      <alignment horizontal="center" vertical="center"/>
    </xf>
    <xf numFmtId="0" fontId="7" fillId="11" borderId="34" xfId="0" applyFont="1" applyFill="1" applyBorder="1" applyAlignment="1">
      <alignment horizontal="center" vertical="center"/>
    </xf>
    <xf numFmtId="0" fontId="15" fillId="4" borderId="0" xfId="0" applyFont="1" applyFill="1" applyAlignment="1">
      <alignment readingOrder="1"/>
    </xf>
    <xf numFmtId="0" fontId="15" fillId="4" borderId="52" xfId="0" applyFont="1" applyFill="1" applyBorder="1" applyAlignment="1">
      <alignment horizontal="left" readingOrder="1"/>
    </xf>
    <xf numFmtId="164" fontId="15" fillId="0" borderId="41" xfId="1" applyFont="1" applyFill="1" applyBorder="1" applyAlignment="1">
      <alignment vertical="center"/>
    </xf>
    <xf numFmtId="0" fontId="0" fillId="0" borderId="31" xfId="0" applyBorder="1" applyAlignment="1">
      <alignment horizontal="left" vertical="center" wrapText="1"/>
    </xf>
    <xf numFmtId="164" fontId="15" fillId="0" borderId="35" xfId="1" applyFont="1" applyFill="1" applyBorder="1" applyAlignment="1">
      <alignment vertical="center" wrapText="1"/>
    </xf>
    <xf numFmtId="0" fontId="0" fillId="0" borderId="37" xfId="0" applyBorder="1" applyAlignment="1">
      <alignment wrapText="1"/>
    </xf>
    <xf numFmtId="0" fontId="0" fillId="0" borderId="35" xfId="0" applyBorder="1" applyAlignment="1">
      <alignment vertical="center"/>
    </xf>
    <xf numFmtId="0" fontId="0" fillId="0" borderId="6" xfId="0" applyBorder="1" applyAlignment="1">
      <alignment vertical="center"/>
    </xf>
    <xf numFmtId="2" fontId="15" fillId="4" borderId="29" xfId="0" applyNumberFormat="1" applyFont="1" applyFill="1" applyBorder="1" applyAlignment="1">
      <alignment horizontal="center" vertical="center"/>
    </xf>
    <xf numFmtId="2" fontId="0" fillId="4" borderId="6" xfId="0" applyNumberForma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0" fontId="0" fillId="0" borderId="6" xfId="0" applyBorder="1" applyAlignment="1">
      <alignment wrapText="1"/>
    </xf>
    <xf numFmtId="0" fontId="0" fillId="0" borderId="7" xfId="0" applyBorder="1"/>
    <xf numFmtId="0" fontId="15" fillId="4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/>
    </xf>
    <xf numFmtId="165" fontId="15" fillId="4" borderId="6" xfId="0" applyNumberFormat="1" applyFont="1" applyFill="1" applyBorder="1" applyAlignment="1">
      <alignment horizontal="center" vertical="center" wrapText="1"/>
    </xf>
    <xf numFmtId="165" fontId="0" fillId="4" borderId="6" xfId="0" applyNumberFormat="1" applyFill="1" applyBorder="1" applyAlignment="1">
      <alignment horizontal="center" vertical="center" wrapText="1"/>
    </xf>
    <xf numFmtId="164" fontId="15" fillId="4" borderId="6" xfId="1" applyFont="1" applyFill="1" applyBorder="1" applyAlignment="1">
      <alignment vertical="center" wrapText="1"/>
    </xf>
    <xf numFmtId="164" fontId="15" fillId="4" borderId="6" xfId="1" applyFont="1" applyFill="1" applyBorder="1" applyAlignment="1">
      <alignment vertical="center"/>
    </xf>
    <xf numFmtId="164" fontId="15" fillId="4" borderId="6" xfId="1" applyFont="1" applyFill="1" applyBorder="1" applyAlignment="1">
      <alignment horizontal="center" vertical="center"/>
    </xf>
    <xf numFmtId="164" fontId="15" fillId="4" borderId="55" xfId="1" applyFont="1" applyFill="1" applyBorder="1" applyAlignment="1">
      <alignment vertical="center" wrapText="1"/>
    </xf>
    <xf numFmtId="0" fontId="0" fillId="6" borderId="35" xfId="0" applyFill="1" applyBorder="1"/>
    <xf numFmtId="0" fontId="15" fillId="6" borderId="35" xfId="0" applyFont="1" applyFill="1" applyBorder="1"/>
    <xf numFmtId="0" fontId="0" fillId="16" borderId="30" xfId="0" applyFill="1" applyBorder="1" applyAlignment="1">
      <alignment horizontal="left"/>
    </xf>
    <xf numFmtId="0" fontId="0" fillId="16" borderId="37" xfId="0" applyFill="1" applyBorder="1" applyAlignment="1">
      <alignment horizontal="left"/>
    </xf>
    <xf numFmtId="14" fontId="0" fillId="16" borderId="26" xfId="0" applyNumberFormat="1" applyFill="1" applyBorder="1" applyAlignment="1">
      <alignment horizontal="center"/>
    </xf>
    <xf numFmtId="0" fontId="0" fillId="16" borderId="28" xfId="0" applyFill="1" applyBorder="1" applyAlignment="1">
      <alignment horizontal="center"/>
    </xf>
    <xf numFmtId="0" fontId="0" fillId="16" borderId="26" xfId="0" applyFill="1" applyBorder="1" applyAlignment="1">
      <alignment horizontal="center"/>
    </xf>
    <xf numFmtId="14" fontId="0" fillId="16" borderId="37" xfId="0" applyNumberFormat="1" applyFill="1" applyBorder="1" applyAlignment="1">
      <alignment horizontal="left"/>
    </xf>
    <xf numFmtId="0" fontId="0" fillId="16" borderId="35" xfId="0" applyFill="1" applyBorder="1" applyAlignment="1">
      <alignment horizontal="left"/>
    </xf>
    <xf numFmtId="0" fontId="0" fillId="4" borderId="39" xfId="0" applyFill="1" applyBorder="1" applyAlignment="1">
      <alignment horizontal="center" vertical="center"/>
    </xf>
    <xf numFmtId="2" fontId="15" fillId="4" borderId="39" xfId="0" applyNumberFormat="1" applyFont="1" applyFill="1" applyBorder="1" applyAlignment="1">
      <alignment horizontal="center" vertical="center"/>
    </xf>
    <xf numFmtId="0" fontId="15" fillId="4" borderId="39" xfId="0" applyFont="1" applyFill="1" applyBorder="1" applyAlignment="1">
      <alignment horizontal="center" vertical="center"/>
    </xf>
    <xf numFmtId="165" fontId="15" fillId="4" borderId="35" xfId="0" applyNumberFormat="1" applyFont="1" applyFill="1" applyBorder="1" applyAlignment="1">
      <alignment horizontal="center" vertical="center" wrapText="1"/>
    </xf>
    <xf numFmtId="165" fontId="7" fillId="4" borderId="37" xfId="0" applyNumberFormat="1" applyFont="1" applyFill="1" applyBorder="1" applyAlignment="1">
      <alignment horizontal="center" vertical="center" wrapText="1"/>
    </xf>
    <xf numFmtId="0" fontId="15" fillId="4" borderId="39" xfId="0" applyFont="1" applyFill="1" applyBorder="1" applyAlignment="1">
      <alignment horizontal="left" vertical="center" wrapText="1"/>
    </xf>
    <xf numFmtId="0" fontId="15" fillId="4" borderId="5" xfId="0" applyFont="1" applyFill="1" applyBorder="1" applyAlignment="1">
      <alignment horizontal="left" vertical="center"/>
    </xf>
    <xf numFmtId="4" fontId="0" fillId="11" borderId="53" xfId="0" applyNumberFormat="1" applyFill="1" applyBorder="1"/>
    <xf numFmtId="0" fontId="21" fillId="0" borderId="0" xfId="0" applyFont="1"/>
    <xf numFmtId="0" fontId="0" fillId="4" borderId="25" xfId="0" applyFill="1" applyBorder="1" applyAlignment="1">
      <alignment horizontal="left"/>
    </xf>
    <xf numFmtId="0" fontId="0" fillId="16" borderId="25" xfId="0" applyFill="1" applyBorder="1" applyAlignment="1">
      <alignment horizontal="left"/>
    </xf>
    <xf numFmtId="0" fontId="0" fillId="13" borderId="33" xfId="0" applyFill="1" applyBorder="1" applyAlignment="1">
      <alignment horizontal="center" vertical="top"/>
    </xf>
    <xf numFmtId="0" fontId="0" fillId="16" borderId="33" xfId="0" applyFill="1" applyBorder="1" applyAlignment="1">
      <alignment horizontal="center" vertical="top"/>
    </xf>
    <xf numFmtId="0" fontId="0" fillId="4" borderId="34" xfId="0" applyFill="1" applyBorder="1"/>
    <xf numFmtId="0" fontId="15" fillId="0" borderId="39" xfId="0" applyFont="1" applyBorder="1" applyAlignment="1">
      <alignment horizontal="center" vertical="center"/>
    </xf>
    <xf numFmtId="165" fontId="15" fillId="0" borderId="35" xfId="0" applyNumberFormat="1" applyFont="1" applyBorder="1" applyAlignment="1">
      <alignment horizontal="center" vertical="center" wrapText="1"/>
    </xf>
    <xf numFmtId="164" fontId="15" fillId="0" borderId="28" xfId="1" applyFont="1" applyBorder="1" applyAlignment="1">
      <alignment horizontal="center" vertical="center"/>
    </xf>
    <xf numFmtId="164" fontId="15" fillId="0" borderId="25" xfId="1" applyFont="1" applyBorder="1" applyAlignment="1">
      <alignment vertical="center"/>
    </xf>
    <xf numFmtId="164" fontId="15" fillId="0" borderId="35" xfId="1" applyFont="1" applyBorder="1" applyAlignment="1">
      <alignment vertical="center"/>
    </xf>
    <xf numFmtId="164" fontId="15" fillId="0" borderId="39" xfId="1" applyFont="1" applyBorder="1" applyAlignment="1">
      <alignment horizontal="center" vertical="center"/>
    </xf>
    <xf numFmtId="164" fontId="15" fillId="0" borderId="25" xfId="1" applyFont="1" applyBorder="1" applyAlignment="1">
      <alignment vertical="center" wrapText="1"/>
    </xf>
    <xf numFmtId="164" fontId="15" fillId="0" borderId="37" xfId="1" applyFont="1" applyBorder="1" applyAlignment="1">
      <alignment vertical="center"/>
    </xf>
    <xf numFmtId="164" fontId="15" fillId="0" borderId="33" xfId="1" applyFont="1" applyBorder="1" applyAlignment="1">
      <alignment vertical="center"/>
    </xf>
    <xf numFmtId="164" fontId="0" fillId="0" borderId="25" xfId="1" applyFont="1" applyBorder="1" applyAlignment="1">
      <alignment vertical="center"/>
    </xf>
    <xf numFmtId="164" fontId="0" fillId="0" borderId="25" xfId="1" applyFont="1" applyBorder="1" applyAlignment="1">
      <alignment vertical="center" wrapText="1"/>
    </xf>
    <xf numFmtId="164" fontId="15" fillId="0" borderId="25" xfId="1" applyFont="1" applyBorder="1" applyAlignment="1">
      <alignment horizontal="center" vertical="center"/>
    </xf>
    <xf numFmtId="164" fontId="3" fillId="0" borderId="0" xfId="1" applyFont="1" applyAlignment="1">
      <alignment vertical="center"/>
    </xf>
    <xf numFmtId="164" fontId="15" fillId="0" borderId="0" xfId="1" applyFont="1" applyAlignment="1">
      <alignment vertical="center"/>
    </xf>
    <xf numFmtId="164" fontId="19" fillId="0" borderId="0" xfId="1" applyFont="1" applyAlignment="1">
      <alignment vertical="center" wrapText="1"/>
    </xf>
    <xf numFmtId="165" fontId="15" fillId="0" borderId="6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164" fontId="15" fillId="0" borderId="55" xfId="1" applyFont="1" applyFill="1" applyBorder="1" applyAlignment="1">
      <alignment vertical="center" wrapText="1"/>
    </xf>
    <xf numFmtId="164" fontId="15" fillId="0" borderId="6" xfId="1" applyFont="1" applyFill="1" applyBorder="1" applyAlignment="1">
      <alignment vertical="center" wrapText="1"/>
    </xf>
    <xf numFmtId="0" fontId="0" fillId="0" borderId="39" xfId="0" applyBorder="1" applyAlignment="1">
      <alignment horizontal="center" vertical="center"/>
    </xf>
    <xf numFmtId="164" fontId="15" fillId="0" borderId="8" xfId="1" applyFont="1" applyFill="1" applyBorder="1" applyAlignment="1">
      <alignment vertical="center"/>
    </xf>
    <xf numFmtId="164" fontId="15" fillId="0" borderId="34" xfId="1" applyFont="1" applyFill="1" applyBorder="1" applyAlignment="1">
      <alignment vertical="center"/>
    </xf>
    <xf numFmtId="0" fontId="15" fillId="0" borderId="6" xfId="0" applyFont="1" applyBorder="1" applyAlignment="1">
      <alignment horizontal="left" vertical="center" wrapText="1"/>
    </xf>
    <xf numFmtId="0" fontId="15" fillId="0" borderId="56" xfId="0" applyFont="1" applyBorder="1" applyAlignment="1">
      <alignment horizontal="left" vertical="center"/>
    </xf>
    <xf numFmtId="9" fontId="4" fillId="0" borderId="6" xfId="2" applyFont="1" applyFill="1" applyBorder="1" applyAlignment="1">
      <alignment horizontal="center" vertical="center" wrapText="1"/>
    </xf>
    <xf numFmtId="0" fontId="15" fillId="11" borderId="28" xfId="0" applyFont="1" applyFill="1" applyBorder="1" applyAlignment="1">
      <alignment horizontal="center" vertical="center"/>
    </xf>
    <xf numFmtId="0" fontId="6" fillId="3" borderId="58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10" borderId="45" xfId="0" applyFont="1" applyFill="1" applyBorder="1" applyAlignment="1">
      <alignment horizontal="center" vertical="center" wrapText="1"/>
    </xf>
    <xf numFmtId="164" fontId="15" fillId="0" borderId="41" xfId="1" applyFont="1" applyFill="1" applyBorder="1" applyAlignment="1">
      <alignment wrapText="1"/>
    </xf>
    <xf numFmtId="0" fontId="0" fillId="11" borderId="0" xfId="0" applyFill="1" applyAlignment="1">
      <alignment horizontal="center"/>
    </xf>
    <xf numFmtId="0" fontId="0" fillId="4" borderId="57" xfId="0" applyFill="1" applyBorder="1" applyAlignment="1">
      <alignment horizontal="center" vertical="center"/>
    </xf>
    <xf numFmtId="0" fontId="7" fillId="0" borderId="28" xfId="0" applyFont="1" applyBorder="1" applyAlignment="1">
      <alignment vertical="center"/>
    </xf>
    <xf numFmtId="164" fontId="15" fillId="0" borderId="29" xfId="1" applyFont="1" applyBorder="1" applyAlignment="1">
      <alignment horizontal="center" vertical="center"/>
    </xf>
    <xf numFmtId="164" fontId="15" fillId="0" borderId="33" xfId="1" applyFont="1" applyBorder="1" applyAlignment="1">
      <alignment horizontal="center" vertical="center"/>
    </xf>
    <xf numFmtId="0" fontId="0" fillId="0" borderId="7" xfId="0" applyBorder="1" applyAlignment="1">
      <alignment wrapText="1"/>
    </xf>
    <xf numFmtId="0" fontId="7" fillId="0" borderId="31" xfId="0" applyFont="1" applyBorder="1" applyAlignment="1">
      <alignment wrapText="1"/>
    </xf>
    <xf numFmtId="0" fontId="3" fillId="4" borderId="0" xfId="0" applyFont="1" applyFill="1" applyAlignment="1">
      <alignment vertical="center"/>
    </xf>
    <xf numFmtId="2" fontId="3" fillId="4" borderId="0" xfId="0" applyNumberFormat="1" applyFont="1" applyFill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5" borderId="27" xfId="0" applyFont="1" applyFill="1" applyBorder="1" applyAlignment="1">
      <alignment horizontal="center" vertical="center"/>
    </xf>
    <xf numFmtId="0" fontId="15" fillId="4" borderId="56" xfId="0" applyFont="1" applyFill="1" applyBorder="1" applyAlignment="1">
      <alignment horizontal="left" vertical="center"/>
    </xf>
    <xf numFmtId="0" fontId="15" fillId="4" borderId="30" xfId="0" applyFont="1" applyFill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/>
    </xf>
    <xf numFmtId="0" fontId="0" fillId="4" borderId="37" xfId="0" applyFill="1" applyBorder="1" applyAlignment="1">
      <alignment wrapText="1"/>
    </xf>
    <xf numFmtId="0" fontId="0" fillId="4" borderId="35" xfId="0" applyFill="1" applyBorder="1" applyAlignment="1">
      <alignment vertical="center"/>
    </xf>
    <xf numFmtId="0" fontId="15" fillId="11" borderId="39" xfId="0" applyFont="1" applyFill="1" applyBorder="1" applyAlignment="1">
      <alignment horizontal="center" vertical="center"/>
    </xf>
    <xf numFmtId="9" fontId="4" fillId="0" borderId="6" xfId="2" applyFont="1" applyBorder="1" applyAlignment="1">
      <alignment horizontal="center" vertical="center" wrapText="1"/>
    </xf>
    <xf numFmtId="0" fontId="0" fillId="0" borderId="33" xfId="0" applyBorder="1" applyAlignment="1">
      <alignment horizontal="left"/>
    </xf>
    <xf numFmtId="0" fontId="0" fillId="0" borderId="36" xfId="0" applyBorder="1"/>
    <xf numFmtId="16" fontId="0" fillId="0" borderId="28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6" fontId="0" fillId="0" borderId="35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1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" fontId="0" fillId="0" borderId="6" xfId="0" applyNumberFormat="1" applyBorder="1" applyAlignment="1">
      <alignment horizontal="center"/>
    </xf>
    <xf numFmtId="2" fontId="15" fillId="4" borderId="35" xfId="0" applyNumberFormat="1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0" fontId="7" fillId="4" borderId="39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left" vertical="center" wrapText="1"/>
    </xf>
    <xf numFmtId="0" fontId="7" fillId="4" borderId="56" xfId="0" applyFont="1" applyFill="1" applyBorder="1" applyAlignment="1">
      <alignment horizontal="left" vertical="center"/>
    </xf>
    <xf numFmtId="2" fontId="7" fillId="4" borderId="35" xfId="0" applyNumberFormat="1" applyFont="1" applyFill="1" applyBorder="1" applyAlignment="1">
      <alignment horizontal="center" vertical="center"/>
    </xf>
    <xf numFmtId="165" fontId="7" fillId="4" borderId="6" xfId="0" applyNumberFormat="1" applyFont="1" applyFill="1" applyBorder="1" applyAlignment="1">
      <alignment horizontal="center" vertical="center" wrapText="1"/>
    </xf>
    <xf numFmtId="165" fontId="7" fillId="4" borderId="59" xfId="0" applyNumberFormat="1" applyFont="1" applyFill="1" applyBorder="1" applyAlignment="1">
      <alignment horizontal="center" vertical="center" wrapText="1"/>
    </xf>
    <xf numFmtId="164" fontId="7" fillId="4" borderId="30" xfId="1" applyFont="1" applyFill="1" applyBorder="1" applyAlignment="1">
      <alignment vertical="center"/>
    </xf>
    <xf numFmtId="0" fontId="0" fillId="13" borderId="29" xfId="0" applyFill="1" applyBorder="1" applyAlignment="1">
      <alignment horizontal="center" vertical="top"/>
    </xf>
    <xf numFmtId="0" fontId="0" fillId="13" borderId="41" xfId="0" applyFill="1" applyBorder="1" applyAlignment="1">
      <alignment horizontal="left"/>
    </xf>
    <xf numFmtId="14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0" fontId="0" fillId="12" borderId="39" xfId="0" applyFill="1" applyBorder="1"/>
    <xf numFmtId="16" fontId="0" fillId="13" borderId="28" xfId="0" applyNumberFormat="1" applyFill="1" applyBorder="1" applyAlignment="1">
      <alignment horizontal="center"/>
    </xf>
    <xf numFmtId="0" fontId="0" fillId="4" borderId="28" xfId="0" applyFill="1" applyBorder="1"/>
    <xf numFmtId="0" fontId="0" fillId="13" borderId="6" xfId="0" applyFill="1" applyBorder="1" applyAlignment="1">
      <alignment horizontal="center" vertical="top"/>
    </xf>
    <xf numFmtId="0" fontId="0" fillId="4" borderId="6" xfId="0" applyFill="1" applyBorder="1" applyAlignment="1">
      <alignment horizontal="left"/>
    </xf>
    <xf numFmtId="0" fontId="0" fillId="13" borderId="6" xfId="0" applyFill="1" applyBorder="1" applyAlignment="1">
      <alignment horizontal="left"/>
    </xf>
    <xf numFmtId="14" fontId="0" fillId="13" borderId="6" xfId="0" applyNumberFormat="1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16" fontId="0" fillId="13" borderId="6" xfId="0" applyNumberFormat="1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164" fontId="7" fillId="0" borderId="25" xfId="1" applyFont="1" applyFill="1" applyBorder="1" applyAlignment="1">
      <alignment vertical="center" wrapText="1"/>
    </xf>
    <xf numFmtId="164" fontId="7" fillId="0" borderId="35" xfId="1" applyFont="1" applyFill="1" applyBorder="1" applyAlignment="1">
      <alignment vertical="center"/>
    </xf>
    <xf numFmtId="164" fontId="7" fillId="0" borderId="29" xfId="1" applyFont="1" applyBorder="1" applyAlignment="1">
      <alignment horizontal="center" vertical="center"/>
    </xf>
    <xf numFmtId="9" fontId="22" fillId="0" borderId="25" xfId="2" applyFont="1" applyBorder="1" applyAlignment="1">
      <alignment horizontal="center" vertical="center" wrapText="1"/>
    </xf>
    <xf numFmtId="0" fontId="7" fillId="0" borderId="30" xfId="0" applyFont="1" applyBorder="1" applyAlignment="1">
      <alignment wrapText="1"/>
    </xf>
    <xf numFmtId="0" fontId="7" fillId="0" borderId="25" xfId="0" applyFont="1" applyBorder="1" applyAlignment="1">
      <alignment vertical="center"/>
    </xf>
    <xf numFmtId="0" fontId="0" fillId="12" borderId="6" xfId="0" applyFill="1" applyBorder="1"/>
    <xf numFmtId="0" fontId="7" fillId="4" borderId="25" xfId="0" applyFont="1" applyFill="1" applyBorder="1" applyAlignment="1">
      <alignment horizontal="left" vertical="center" wrapText="1"/>
    </xf>
    <xf numFmtId="165" fontId="7" fillId="4" borderId="38" xfId="0" applyNumberFormat="1" applyFont="1" applyFill="1" applyBorder="1" applyAlignment="1">
      <alignment horizontal="center" vertical="center" wrapText="1"/>
    </xf>
    <xf numFmtId="164" fontId="7" fillId="4" borderId="25" xfId="1" applyFont="1" applyFill="1" applyBorder="1" applyAlignment="1">
      <alignment vertical="center"/>
    </xf>
    <xf numFmtId="14" fontId="0" fillId="13" borderId="6" xfId="0" applyNumberFormat="1" applyFill="1" applyBorder="1" applyAlignment="1">
      <alignment horizontal="left"/>
    </xf>
    <xf numFmtId="0" fontId="0" fillId="6" borderId="6" xfId="0" applyFill="1" applyBorder="1"/>
    <xf numFmtId="0" fontId="15" fillId="4" borderId="6" xfId="0" applyFont="1" applyFill="1" applyBorder="1" applyAlignment="1">
      <alignment horizontal="left" vertical="center" wrapText="1"/>
    </xf>
    <xf numFmtId="0" fontId="0" fillId="4" borderId="7" xfId="0" applyFill="1" applyBorder="1" applyAlignment="1">
      <alignment horizontal="center" vertical="center"/>
    </xf>
    <xf numFmtId="164" fontId="15" fillId="4" borderId="39" xfId="1" applyFont="1" applyFill="1" applyBorder="1" applyAlignment="1">
      <alignment horizontal="center" vertical="center"/>
    </xf>
    <xf numFmtId="164" fontId="15" fillId="4" borderId="35" xfId="1" applyFont="1" applyFill="1" applyBorder="1" applyAlignment="1">
      <alignment vertical="center" wrapText="1"/>
    </xf>
    <xf numFmtId="0" fontId="15" fillId="0" borderId="6" xfId="0" applyFont="1" applyBorder="1" applyAlignment="1">
      <alignment horizontal="left" vertical="center"/>
    </xf>
    <xf numFmtId="16" fontId="0" fillId="13" borderId="6" xfId="0" applyNumberFormat="1" applyFill="1" applyBorder="1" applyAlignment="1">
      <alignment horizontal="center" vertical="top"/>
    </xf>
    <xf numFmtId="0" fontId="0" fillId="4" borderId="6" xfId="0" applyFill="1" applyBorder="1" applyAlignment="1">
      <alignment horizontal="left" vertical="top"/>
    </xf>
    <xf numFmtId="164" fontId="15" fillId="4" borderId="38" xfId="1" applyFont="1" applyFill="1" applyBorder="1" applyAlignment="1">
      <alignment horizontal="center" vertical="center"/>
    </xf>
    <xf numFmtId="164" fontId="15" fillId="0" borderId="35" xfId="1" applyFont="1" applyFill="1" applyBorder="1" applyAlignment="1">
      <alignment vertical="center"/>
    </xf>
    <xf numFmtId="164" fontId="15" fillId="0" borderId="39" xfId="1" applyFont="1" applyFill="1" applyBorder="1" applyAlignment="1">
      <alignment horizontal="center" vertical="center"/>
    </xf>
    <xf numFmtId="0" fontId="15" fillId="0" borderId="28" xfId="0" applyFont="1" applyBorder="1" applyAlignment="1">
      <alignment horizontal="left" vertical="center" wrapText="1"/>
    </xf>
    <xf numFmtId="0" fontId="0" fillId="0" borderId="57" xfId="0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64" fontId="15" fillId="0" borderId="28" xfId="1" applyFont="1" applyFill="1" applyBorder="1" applyAlignment="1">
      <alignment vertical="center"/>
    </xf>
    <xf numFmtId="164" fontId="15" fillId="0" borderId="29" xfId="1" applyFont="1" applyFill="1" applyBorder="1" applyAlignment="1">
      <alignment horizontal="center" vertical="center"/>
    </xf>
    <xf numFmtId="164" fontId="15" fillId="0" borderId="33" xfId="1" applyFont="1" applyFill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164" fontId="15" fillId="0" borderId="25" xfId="1" applyFont="1" applyFill="1" applyBorder="1" applyAlignment="1">
      <alignment vertical="center" wrapText="1"/>
    </xf>
    <xf numFmtId="164" fontId="15" fillId="0" borderId="38" xfId="1" applyFont="1" applyFill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2" fontId="7" fillId="0" borderId="35" xfId="0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7" fillId="0" borderId="25" xfId="1" applyFont="1" applyFill="1" applyBorder="1" applyAlignment="1">
      <alignment vertical="center"/>
    </xf>
    <xf numFmtId="164" fontId="7" fillId="0" borderId="29" xfId="1" applyFont="1" applyFill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 wrapText="1"/>
    </xf>
    <xf numFmtId="164" fontId="7" fillId="0" borderId="30" xfId="1" applyFont="1" applyFill="1" applyBorder="1" applyAlignment="1">
      <alignment vertical="center"/>
    </xf>
    <xf numFmtId="164" fontId="15" fillId="0" borderId="6" xfId="1" applyFont="1" applyFill="1" applyBorder="1" applyAlignment="1">
      <alignment vertical="center"/>
    </xf>
    <xf numFmtId="164" fontId="15" fillId="0" borderId="6" xfId="1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165" fontId="0" fillId="0" borderId="6" xfId="0" applyNumberForma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/>
    </xf>
    <xf numFmtId="164" fontId="15" fillId="0" borderId="28" xfId="1" applyFont="1" applyFill="1" applyBorder="1" applyAlignment="1">
      <alignment vertical="center" wrapText="1"/>
    </xf>
    <xf numFmtId="164" fontId="15" fillId="0" borderId="37" xfId="1" applyFont="1" applyFill="1" applyBorder="1" applyAlignment="1">
      <alignment vertical="center"/>
    </xf>
    <xf numFmtId="0" fontId="0" fillId="0" borderId="29" xfId="0" applyBorder="1" applyAlignment="1">
      <alignment horizontal="center" vertical="center"/>
    </xf>
    <xf numFmtId="164" fontId="15" fillId="0" borderId="30" xfId="1" applyFont="1" applyFill="1" applyBorder="1" applyAlignment="1">
      <alignment vertical="center" wrapText="1"/>
    </xf>
    <xf numFmtId="164" fontId="15" fillId="0" borderId="30" xfId="1" applyFont="1" applyBorder="1" applyAlignment="1">
      <alignment vertical="center" wrapText="1"/>
    </xf>
    <xf numFmtId="0" fontId="15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165" fontId="15" fillId="0" borderId="5" xfId="0" applyNumberFormat="1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/>
    </xf>
    <xf numFmtId="0" fontId="15" fillId="0" borderId="39" xfId="0" applyFont="1" applyBorder="1" applyAlignment="1">
      <alignment vertical="center"/>
    </xf>
    <xf numFmtId="0" fontId="7" fillId="0" borderId="35" xfId="0" applyFont="1" applyBorder="1" applyAlignment="1">
      <alignment horizontal="left" vertical="center"/>
    </xf>
    <xf numFmtId="2" fontId="0" fillId="0" borderId="39" xfId="0" applyNumberForma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165" fontId="15" fillId="0" borderId="39" xfId="0" applyNumberFormat="1" applyFont="1" applyBorder="1" applyAlignment="1">
      <alignment horizontal="center" vertical="center" wrapText="1"/>
    </xf>
    <xf numFmtId="165" fontId="15" fillId="0" borderId="38" xfId="0" applyNumberFormat="1" applyFont="1" applyBorder="1" applyAlignment="1">
      <alignment horizontal="center" vertical="center" wrapText="1"/>
    </xf>
    <xf numFmtId="2" fontId="15" fillId="0" borderId="6" xfId="0" applyNumberFormat="1" applyFont="1" applyBorder="1" applyAlignment="1">
      <alignment horizontal="center" vertical="center"/>
    </xf>
    <xf numFmtId="164" fontId="15" fillId="0" borderId="6" xfId="1" applyFont="1" applyBorder="1" applyAlignment="1">
      <alignment vertical="center"/>
    </xf>
    <xf numFmtId="0" fontId="0" fillId="0" borderId="31" xfId="0" applyBorder="1" applyAlignment="1">
      <alignment horizontal="center"/>
    </xf>
    <xf numFmtId="14" fontId="0" fillId="0" borderId="35" xfId="0" applyNumberFormat="1" applyBorder="1" applyAlignment="1">
      <alignment horizontal="center"/>
    </xf>
    <xf numFmtId="0" fontId="0" fillId="6" borderId="25" xfId="0" applyFill="1" applyBorder="1"/>
    <xf numFmtId="0" fontId="0" fillId="4" borderId="37" xfId="0" applyFill="1" applyBorder="1" applyAlignment="1">
      <alignment horizontal="left" vertical="center" wrapText="1"/>
    </xf>
    <xf numFmtId="4" fontId="7" fillId="4" borderId="25" xfId="0" applyNumberFormat="1" applyFont="1" applyFill="1" applyBorder="1" applyAlignment="1">
      <alignment vertical="center"/>
    </xf>
    <xf numFmtId="0" fontId="7" fillId="4" borderId="30" xfId="0" applyFont="1" applyFill="1" applyBorder="1" applyAlignment="1">
      <alignment wrapText="1"/>
    </xf>
    <xf numFmtId="0" fontId="15" fillId="11" borderId="6" xfId="0" applyFont="1" applyFill="1" applyBorder="1" applyAlignment="1">
      <alignment horizontal="center" vertical="center"/>
    </xf>
    <xf numFmtId="0" fontId="0" fillId="4" borderId="31" xfId="0" applyFill="1" applyBorder="1" applyAlignment="1">
      <alignment horizontal="left" vertical="center" wrapText="1"/>
    </xf>
    <xf numFmtId="165" fontId="41" fillId="4" borderId="25" xfId="0" applyNumberFormat="1" applyFont="1" applyFill="1" applyBorder="1" applyAlignment="1">
      <alignment horizontal="center" vertical="center" wrapText="1"/>
    </xf>
    <xf numFmtId="0" fontId="0" fillId="11" borderId="26" xfId="0" applyFill="1" applyBorder="1" applyAlignment="1">
      <alignment horizontal="center" vertical="center"/>
    </xf>
    <xf numFmtId="0" fontId="15" fillId="4" borderId="70" xfId="0" applyFont="1" applyFill="1" applyBorder="1" applyAlignment="1">
      <alignment horizontal="left" vertical="center"/>
    </xf>
    <xf numFmtId="0" fontId="15" fillId="4" borderId="70" xfId="0" applyFont="1" applyFill="1" applyBorder="1" applyAlignment="1">
      <alignment horizontal="center" vertical="center"/>
    </xf>
    <xf numFmtId="165" fontId="15" fillId="4" borderId="70" xfId="0" applyNumberFormat="1" applyFont="1" applyFill="1" applyBorder="1" applyAlignment="1">
      <alignment horizontal="center" vertical="center" wrapText="1"/>
    </xf>
    <xf numFmtId="0" fontId="0" fillId="4" borderId="60" xfId="0" applyFill="1" applyBorder="1"/>
    <xf numFmtId="0" fontId="0" fillId="4" borderId="58" xfId="0" applyFill="1" applyBorder="1"/>
    <xf numFmtId="4" fontId="0" fillId="11" borderId="45" xfId="0" applyNumberFormat="1" applyFill="1" applyBorder="1"/>
    <xf numFmtId="0" fontId="0" fillId="4" borderId="6" xfId="0" applyFill="1" applyBorder="1" applyAlignment="1">
      <alignment horizontal="center"/>
    </xf>
    <xf numFmtId="16" fontId="0" fillId="13" borderId="25" xfId="0" applyNumberFormat="1" applyFill="1" applyBorder="1" applyAlignment="1">
      <alignment horizontal="center" vertical="center"/>
    </xf>
    <xf numFmtId="0" fontId="0" fillId="13" borderId="25" xfId="0" applyFill="1" applyBorder="1" applyAlignment="1">
      <alignment horizontal="left" vertical="center"/>
    </xf>
    <xf numFmtId="0" fontId="0" fillId="13" borderId="25" xfId="0" applyFill="1" applyBorder="1" applyAlignment="1">
      <alignment horizontal="center" vertical="center"/>
    </xf>
    <xf numFmtId="0" fontId="0" fillId="6" borderId="25" xfId="0" applyFill="1" applyBorder="1" applyAlignment="1">
      <alignment horizontal="right" vertical="center"/>
    </xf>
    <xf numFmtId="0" fontId="0" fillId="4" borderId="33" xfId="0" applyFill="1" applyBorder="1" applyAlignment="1">
      <alignment horizontal="right" vertical="center"/>
    </xf>
    <xf numFmtId="15" fontId="0" fillId="0" borderId="25" xfId="0" applyNumberFormat="1" applyBorder="1" applyAlignment="1">
      <alignment horizontal="center" vertical="center"/>
    </xf>
    <xf numFmtId="165" fontId="15" fillId="0" borderId="30" xfId="0" applyNumberFormat="1" applyFont="1" applyBorder="1" applyAlignment="1">
      <alignment horizontal="center" vertical="center" wrapText="1"/>
    </xf>
    <xf numFmtId="164" fontId="15" fillId="0" borderId="32" xfId="1" applyFont="1" applyBorder="1" applyAlignment="1">
      <alignment wrapText="1"/>
    </xf>
    <xf numFmtId="164" fontId="15" fillId="0" borderId="31" xfId="1" applyFont="1" applyFill="1" applyBorder="1" applyAlignment="1">
      <alignment vertical="center"/>
    </xf>
    <xf numFmtId="164" fontId="15" fillId="0" borderId="31" xfId="1" applyFont="1" applyBorder="1" applyAlignment="1">
      <alignment vertical="center"/>
    </xf>
    <xf numFmtId="165" fontId="15" fillId="8" borderId="25" xfId="0" applyNumberFormat="1" applyFont="1" applyFill="1" applyBorder="1" applyAlignment="1">
      <alignment horizontal="center" vertical="center" wrapText="1"/>
    </xf>
    <xf numFmtId="165" fontId="15" fillId="8" borderId="33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0" fontId="8" fillId="5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164" fontId="15" fillId="4" borderId="28" xfId="1" applyFont="1" applyFill="1" applyBorder="1" applyAlignment="1">
      <alignment horizontal="center" vertical="center"/>
    </xf>
    <xf numFmtId="164" fontId="15" fillId="4" borderId="35" xfId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15" fillId="4" borderId="31" xfId="1" applyFont="1" applyFill="1" applyBorder="1" applyAlignment="1">
      <alignment horizontal="center" vertical="center"/>
    </xf>
    <xf numFmtId="164" fontId="15" fillId="4" borderId="41" xfId="1" applyFont="1" applyFill="1" applyBorder="1" applyAlignment="1">
      <alignment horizontal="center" vertical="center"/>
    </xf>
    <xf numFmtId="164" fontId="15" fillId="4" borderId="37" xfId="1" applyFont="1" applyFill="1" applyBorder="1" applyAlignment="1">
      <alignment horizontal="center" vertical="center"/>
    </xf>
    <xf numFmtId="164" fontId="15" fillId="4" borderId="42" xfId="1" applyFont="1" applyFill="1" applyBorder="1" applyAlignment="1">
      <alignment horizontal="left" vertical="center" wrapText="1"/>
    </xf>
    <xf numFmtId="164" fontId="15" fillId="4" borderId="39" xfId="1" applyFont="1" applyFill="1" applyBorder="1" applyAlignment="1">
      <alignment horizontal="left" vertical="center" wrapText="1"/>
    </xf>
    <xf numFmtId="164" fontId="15" fillId="4" borderId="35" xfId="1" applyFont="1" applyFill="1" applyBorder="1" applyAlignment="1">
      <alignment horizontal="left" vertical="center" wrapText="1"/>
    </xf>
    <xf numFmtId="164" fontId="15" fillId="4" borderId="42" xfId="1" applyFont="1" applyFill="1" applyBorder="1" applyAlignment="1">
      <alignment horizontal="center" vertical="center"/>
    </xf>
    <xf numFmtId="164" fontId="15" fillId="4" borderId="39" xfId="1" applyFont="1" applyFill="1" applyBorder="1" applyAlignment="1">
      <alignment horizontal="center" vertical="center"/>
    </xf>
    <xf numFmtId="9" fontId="4" fillId="0" borderId="28" xfId="2" applyFont="1" applyBorder="1" applyAlignment="1">
      <alignment horizontal="center" vertical="center" wrapText="1"/>
    </xf>
    <xf numFmtId="9" fontId="4" fillId="0" borderId="39" xfId="2" applyFont="1" applyBorder="1" applyAlignment="1">
      <alignment horizontal="center" vertical="center" wrapText="1"/>
    </xf>
    <xf numFmtId="9" fontId="4" fillId="0" borderId="35" xfId="2" applyFont="1" applyBorder="1" applyAlignment="1">
      <alignment horizontal="center" vertical="center" wrapText="1"/>
    </xf>
    <xf numFmtId="164" fontId="15" fillId="4" borderId="28" xfId="1" applyFont="1" applyFill="1" applyBorder="1" applyAlignment="1">
      <alignment horizontal="left" vertical="center" wrapText="1"/>
    </xf>
    <xf numFmtId="164" fontId="15" fillId="0" borderId="28" xfId="1" applyFont="1" applyFill="1" applyBorder="1" applyAlignment="1">
      <alignment horizontal="center" vertical="center"/>
    </xf>
    <xf numFmtId="164" fontId="15" fillId="0" borderId="35" xfId="1" applyFont="1" applyFill="1" applyBorder="1" applyAlignment="1">
      <alignment horizontal="center" vertical="center"/>
    </xf>
    <xf numFmtId="164" fontId="15" fillId="0" borderId="28" xfId="1" applyFont="1" applyFill="1" applyBorder="1" applyAlignment="1">
      <alignment horizontal="center" vertical="center" wrapText="1"/>
    </xf>
    <xf numFmtId="164" fontId="15" fillId="0" borderId="35" xfId="1" applyFont="1" applyFill="1" applyBorder="1" applyAlignment="1">
      <alignment horizontal="center" vertical="center" wrapText="1"/>
    </xf>
    <xf numFmtId="0" fontId="0" fillId="0" borderId="38" xfId="0" applyBorder="1" applyAlignment="1">
      <alignment vertical="center"/>
    </xf>
    <xf numFmtId="0" fontId="0" fillId="4" borderId="49" xfId="0" applyFill="1" applyBorder="1" applyAlignment="1">
      <alignment horizontal="right" vertical="center"/>
    </xf>
    <xf numFmtId="0" fontId="0" fillId="4" borderId="51" xfId="0" applyFill="1" applyBorder="1" applyAlignment="1">
      <alignment horizontal="right" vertical="center"/>
    </xf>
    <xf numFmtId="0" fontId="0" fillId="0" borderId="38" xfId="0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0" fillId="4" borderId="56" xfId="0" applyFill="1" applyBorder="1" applyAlignment="1">
      <alignment horizontal="center" vertical="center"/>
    </xf>
    <xf numFmtId="0" fontId="0" fillId="4" borderId="57" xfId="0" applyFill="1" applyBorder="1" applyAlignment="1">
      <alignment horizontal="center" vertical="center"/>
    </xf>
    <xf numFmtId="0" fontId="0" fillId="4" borderId="47" xfId="0" applyFill="1" applyBorder="1" applyAlignment="1">
      <alignment horizontal="left" vertical="center" wrapText="1"/>
    </xf>
    <xf numFmtId="0" fontId="0" fillId="4" borderId="50" xfId="0" applyFill="1" applyBorder="1" applyAlignment="1">
      <alignment horizontal="left" vertical="center"/>
    </xf>
    <xf numFmtId="4" fontId="0" fillId="11" borderId="48" xfId="0" applyNumberFormat="1" applyFill="1" applyBorder="1" applyAlignment="1">
      <alignment horizontal="right" vertical="center"/>
    </xf>
    <xf numFmtId="0" fontId="0" fillId="11" borderId="0" xfId="0" applyFill="1" applyAlignment="1">
      <alignment horizontal="right" vertical="center"/>
    </xf>
  </cellXfs>
  <cellStyles count="137">
    <cellStyle name="20% - Accent1 2" xfId="46" xr:uid="{A3A184AA-538E-4AC8-B951-50B3A7B5FD85}"/>
    <cellStyle name="20% - Accent1 2 2" xfId="99" xr:uid="{6CB60689-99C4-4E63-BBB4-C7B18AF32955}"/>
    <cellStyle name="20% - Accent1 3" xfId="59" xr:uid="{F405AC3A-B5C7-4485-84FB-6A1A7FAB3F08}"/>
    <cellStyle name="20% - Accent1 3 2" xfId="112" xr:uid="{B30A4E33-13BA-44FB-8297-757240558862}"/>
    <cellStyle name="20% - Accent1 4" xfId="72" xr:uid="{18055D8F-8A06-451C-818D-2259A2B05D7B}"/>
    <cellStyle name="20% - Accent1 4 2" xfId="125" xr:uid="{97EC77A3-E846-412C-B55D-65C0A1A5A7B4}"/>
    <cellStyle name="20% - Accent1 5" xfId="84" xr:uid="{1694D919-9E98-4A21-A18B-4C1F24220CC7}"/>
    <cellStyle name="20% - Accent1 6" xfId="20" xr:uid="{DA234593-BD7E-4E19-B3A6-BD88BB1C702B}"/>
    <cellStyle name="20% - Accent2 2" xfId="48" xr:uid="{8257EA07-CD16-4EE7-ADED-2914FBADC543}"/>
    <cellStyle name="20% - Accent2 2 2" xfId="101" xr:uid="{C4F606ED-03B8-46F6-BD70-89244C618C18}"/>
    <cellStyle name="20% - Accent2 3" xfId="61" xr:uid="{6C4A4E70-6AB6-4D6D-AB86-8160835D8C20}"/>
    <cellStyle name="20% - Accent2 3 2" xfId="114" xr:uid="{F85F8CEB-9281-4925-BB59-30DF3D0E03C1}"/>
    <cellStyle name="20% - Accent2 4" xfId="74" xr:uid="{86582543-0694-43CC-8A18-012054FC9327}"/>
    <cellStyle name="20% - Accent2 4 2" xfId="127" xr:uid="{BA4894A5-E376-41E7-AEA9-4D85EC5C2267}"/>
    <cellStyle name="20% - Accent2 5" xfId="86" xr:uid="{4BE85E28-52B0-43B9-8910-3ABE6326BE3C}"/>
    <cellStyle name="20% - Accent2 6" xfId="24" xr:uid="{9A4C4070-2106-4513-B4DD-7A49B74AE6CF}"/>
    <cellStyle name="20% - Accent3 2" xfId="50" xr:uid="{B98F3B83-5524-41D7-BAE4-8F5293B70638}"/>
    <cellStyle name="20% - Accent3 2 2" xfId="103" xr:uid="{CC998D5B-60B6-4944-AECE-842EA91357D8}"/>
    <cellStyle name="20% - Accent3 3" xfId="63" xr:uid="{FFD5F4A5-D93E-46C1-9952-F3A7BBBD81D7}"/>
    <cellStyle name="20% - Accent3 3 2" xfId="116" xr:uid="{9D00002E-5A38-460D-ABB9-B134046C4AE4}"/>
    <cellStyle name="20% - Accent3 4" xfId="76" xr:uid="{312D0A81-50AC-4C96-954C-4621772FB92D}"/>
    <cellStyle name="20% - Accent3 4 2" xfId="129" xr:uid="{305A06EB-3180-4C13-A80D-BBED2420B8F9}"/>
    <cellStyle name="20% - Accent3 5" xfId="88" xr:uid="{F1E2F996-08B4-4C3E-BAE0-31F3C0C2720C}"/>
    <cellStyle name="20% - Accent3 6" xfId="28" xr:uid="{34476386-F37A-423D-838E-9F681B26AA36}"/>
    <cellStyle name="20% - Accent4 2" xfId="52" xr:uid="{9C931BBC-CE4C-450E-B6B4-7674AA8F4E08}"/>
    <cellStyle name="20% - Accent4 2 2" xfId="105" xr:uid="{1F8935C6-DCAE-4315-BA4F-2C0C74C89512}"/>
    <cellStyle name="20% - Accent4 3" xfId="65" xr:uid="{4A0C04F0-41A8-46BE-BD70-010816C8598E}"/>
    <cellStyle name="20% - Accent4 3 2" xfId="118" xr:uid="{6916B601-D501-469B-A41B-46DB638255EA}"/>
    <cellStyle name="20% - Accent4 4" xfId="78" xr:uid="{EAE7B8EB-F4F2-4C73-BE83-A7D6C24DCB62}"/>
    <cellStyle name="20% - Accent4 4 2" xfId="131" xr:uid="{FFD52F75-3520-4124-806F-3D1EA1C2DF0F}"/>
    <cellStyle name="20% - Accent4 5" xfId="90" xr:uid="{B6027565-D3AC-4A9E-9195-108140D57D48}"/>
    <cellStyle name="20% - Accent4 6" xfId="32" xr:uid="{F61BBB3F-E6B0-4E4F-9EAC-164709D55A27}"/>
    <cellStyle name="20% - Accent5 2" xfId="54" xr:uid="{E6F5DC56-DB17-4283-B430-D2228C4C0468}"/>
    <cellStyle name="20% - Accent5 2 2" xfId="107" xr:uid="{606706E8-A42C-43F0-8A1E-4AA5CA58D1B7}"/>
    <cellStyle name="20% - Accent5 3" xfId="67" xr:uid="{59C75047-34F1-4BCC-A923-097E01C3EE79}"/>
    <cellStyle name="20% - Accent5 3 2" xfId="120" xr:uid="{6700BBCE-B850-4008-93E9-5D62F81AEA5B}"/>
    <cellStyle name="20% - Accent5 4" xfId="80" xr:uid="{08B2E2BD-91FA-4D55-8EC8-732BEFADC001}"/>
    <cellStyle name="20% - Accent5 4 2" xfId="133" xr:uid="{9C9FBF45-0566-404B-9CB6-70403B2ED54F}"/>
    <cellStyle name="20% - Accent5 5" xfId="92" xr:uid="{45537B5C-A075-4BA5-BB73-138D69957337}"/>
    <cellStyle name="20% - Accent5 6" xfId="36" xr:uid="{BA7C3970-48FF-4273-AA54-B07A2FE69201}"/>
    <cellStyle name="20% - Accent6 2" xfId="56" xr:uid="{88E18D11-D672-4870-A9F0-2E5AF6E951B0}"/>
    <cellStyle name="20% - Accent6 2 2" xfId="109" xr:uid="{690B2E08-0DF4-43B8-B168-22C66B969EE0}"/>
    <cellStyle name="20% - Accent6 3" xfId="69" xr:uid="{820BF395-C5BD-4B86-B3CC-FC3428F629EC}"/>
    <cellStyle name="20% - Accent6 3 2" xfId="122" xr:uid="{16E0F05A-4762-41F5-9A8F-D8F2D11A67A9}"/>
    <cellStyle name="20% - Accent6 4" xfId="82" xr:uid="{1BAECC04-25D5-4540-BF8B-75932EC66898}"/>
    <cellStyle name="20% - Accent6 4 2" xfId="135" xr:uid="{9A9232E2-683A-445A-A745-80692F35CC2A}"/>
    <cellStyle name="20% - Accent6 5" xfId="94" xr:uid="{1E668CC3-C963-414D-931C-506DF2F561E9}"/>
    <cellStyle name="20% - Accent6 6" xfId="40" xr:uid="{43CB5922-85AF-4E0F-AFA2-4015C98AA32F}"/>
    <cellStyle name="40% - Accent1 2" xfId="47" xr:uid="{0D72A37A-A2D3-4C78-B45F-DD6BF5166D81}"/>
    <cellStyle name="40% - Accent1 2 2" xfId="100" xr:uid="{5DE40233-5C60-4AD7-A1E2-274312D80EA7}"/>
    <cellStyle name="40% - Accent1 3" xfId="60" xr:uid="{D426639C-0C62-477D-B3A8-A693290CB89F}"/>
    <cellStyle name="40% - Accent1 3 2" xfId="113" xr:uid="{41529650-EC6F-4FAA-BE8D-C3CC778EA802}"/>
    <cellStyle name="40% - Accent1 4" xfId="73" xr:uid="{5A6A38AC-9D5F-4012-9DAF-C2778992B332}"/>
    <cellStyle name="40% - Accent1 4 2" xfId="126" xr:uid="{BD3066D6-7AB7-432E-91A7-F7B0CD483B18}"/>
    <cellStyle name="40% - Accent1 5" xfId="85" xr:uid="{5E8E6934-A2AF-451F-8B2F-BCE106D26E58}"/>
    <cellStyle name="40% - Accent1 6" xfId="21" xr:uid="{68D3CCE8-192F-42F3-AED2-7B3213D9A436}"/>
    <cellStyle name="40% - Accent2 2" xfId="49" xr:uid="{9F7456EC-A689-46D1-9A65-7141B981B6EC}"/>
    <cellStyle name="40% - Accent2 2 2" xfId="102" xr:uid="{61061F60-A9E0-4E89-AD36-9036CAED9BAC}"/>
    <cellStyle name="40% - Accent2 3" xfId="62" xr:uid="{50F05BFF-104A-48CF-9FB3-75FC54614BB8}"/>
    <cellStyle name="40% - Accent2 3 2" xfId="115" xr:uid="{6FD416B5-489F-40B2-927F-46421C4EB268}"/>
    <cellStyle name="40% - Accent2 4" xfId="75" xr:uid="{2F5615C4-9B05-425B-A823-A81D753002B6}"/>
    <cellStyle name="40% - Accent2 4 2" xfId="128" xr:uid="{1E32E3D1-0ACF-4472-9172-D0213346B363}"/>
    <cellStyle name="40% - Accent2 5" xfId="87" xr:uid="{45092C4B-EF28-46CC-9B8F-0083CC2B5B87}"/>
    <cellStyle name="40% - Accent2 6" xfId="25" xr:uid="{FBAC40CF-6D5C-43BB-A31E-B4A4AB18F47A}"/>
    <cellStyle name="40% - Accent3 2" xfId="51" xr:uid="{4DBDB003-07BE-4223-9B71-3A5809936531}"/>
    <cellStyle name="40% - Accent3 2 2" xfId="104" xr:uid="{7F67CB83-0E74-41C9-8B59-2689AAF20B97}"/>
    <cellStyle name="40% - Accent3 3" xfId="64" xr:uid="{C61A9B78-E3F2-461B-BEF9-38EE5763A01C}"/>
    <cellStyle name="40% - Accent3 3 2" xfId="117" xr:uid="{91F9CA21-AD70-417B-8A19-B7995EA9AB60}"/>
    <cellStyle name="40% - Accent3 4" xfId="77" xr:uid="{7A0596BB-BBE5-4B20-83DB-E0CA24EB8B23}"/>
    <cellStyle name="40% - Accent3 4 2" xfId="130" xr:uid="{00AF9D15-41A5-44D5-9B9F-99AE3726E7AF}"/>
    <cellStyle name="40% - Accent3 5" xfId="89" xr:uid="{128CAF81-08BC-40AE-B6E4-3CD78191D298}"/>
    <cellStyle name="40% - Accent3 6" xfId="29" xr:uid="{32A8FE36-511B-436A-8F3A-C342B83F7934}"/>
    <cellStyle name="40% - Accent4 2" xfId="53" xr:uid="{42CCB9B9-E83B-49F4-8C23-7E61AE85450F}"/>
    <cellStyle name="40% - Accent4 2 2" xfId="106" xr:uid="{D57CED43-39A0-4AF1-9C72-6F1A6584FB7E}"/>
    <cellStyle name="40% - Accent4 3" xfId="66" xr:uid="{31706818-5CF4-4775-A56E-C0A50A12726F}"/>
    <cellStyle name="40% - Accent4 3 2" xfId="119" xr:uid="{9212506D-41D2-41DD-94D5-B6081C02C325}"/>
    <cellStyle name="40% - Accent4 4" xfId="79" xr:uid="{0D99EA40-56D3-4BA1-93DA-2AFB35416D28}"/>
    <cellStyle name="40% - Accent4 4 2" xfId="132" xr:uid="{8441A8B3-E574-4A7A-B0F6-7C8B441E71AB}"/>
    <cellStyle name="40% - Accent4 5" xfId="91" xr:uid="{2CEC9332-11D5-4684-9856-EFFB50E0E099}"/>
    <cellStyle name="40% - Accent4 6" xfId="33" xr:uid="{1A027180-6BA4-4818-93CB-948A2114F873}"/>
    <cellStyle name="40% - Accent5 2" xfId="55" xr:uid="{CA52AC04-0BB9-4DA1-8357-91214D37FFBF}"/>
    <cellStyle name="40% - Accent5 2 2" xfId="108" xr:uid="{581807AF-CDCD-4C5A-B434-A3C50D49A0D7}"/>
    <cellStyle name="40% - Accent5 3" xfId="68" xr:uid="{2EA3596E-3862-4D65-A2AD-16EE6EB2EC19}"/>
    <cellStyle name="40% - Accent5 3 2" xfId="121" xr:uid="{0CA26B65-2C41-459C-84D8-DA2CED4CE1C3}"/>
    <cellStyle name="40% - Accent5 4" xfId="81" xr:uid="{3C38FB7C-6308-4486-86E0-0A7F7E72B4D7}"/>
    <cellStyle name="40% - Accent5 4 2" xfId="134" xr:uid="{0D5519E1-7CC5-490E-94A9-D39A54E2FB1A}"/>
    <cellStyle name="40% - Accent5 5" xfId="93" xr:uid="{8F54C01F-5C95-4E7A-853F-F046677328BC}"/>
    <cellStyle name="40% - Accent5 6" xfId="37" xr:uid="{25DEF54F-3E17-4F56-86E1-2F634D90EA47}"/>
    <cellStyle name="40% - Accent6 2" xfId="57" xr:uid="{BB1DCCE6-5C34-42A7-B784-989A64C0FF43}"/>
    <cellStyle name="40% - Accent6 2 2" xfId="110" xr:uid="{7946FCB3-82D0-47C2-806F-4D9188183F1D}"/>
    <cellStyle name="40% - Accent6 3" xfId="70" xr:uid="{4710CD4C-CB39-4136-868C-33D8790F46A8}"/>
    <cellStyle name="40% - Accent6 3 2" xfId="123" xr:uid="{9B24A8FA-EC0E-489A-A182-4877A8EBEC27}"/>
    <cellStyle name="40% - Accent6 4" xfId="83" xr:uid="{A0DF9F58-967E-4C20-9968-F7424FA82EE7}"/>
    <cellStyle name="40% - Accent6 4 2" xfId="136" xr:uid="{3EC33701-6510-4DA2-82A1-874BD57AC9FA}"/>
    <cellStyle name="40% - Accent6 5" xfId="95" xr:uid="{21581CB1-23E4-4AAA-BE33-4ADD172B61C2}"/>
    <cellStyle name="40% - Accent6 6" xfId="41" xr:uid="{93DBDFBE-B97A-446A-BEE2-212FA8AC913F}"/>
    <cellStyle name="60% - Accent1 2" xfId="22" xr:uid="{0D9DE223-3FD5-42AF-A373-44471C687CDA}"/>
    <cellStyle name="60% - Accent2 2" xfId="26" xr:uid="{9B5A9020-6FDA-4661-8513-C8C4991CCDF3}"/>
    <cellStyle name="60% - Accent3 2" xfId="30" xr:uid="{2FA161A9-C138-46B9-A173-E1F0E2328CA2}"/>
    <cellStyle name="60% - Accent4 2" xfId="34" xr:uid="{DEBF3938-112F-4803-B74A-CEA9251A5255}"/>
    <cellStyle name="60% - Accent5 2" xfId="38" xr:uid="{2BF1E884-0643-45BE-900D-6C962BB1FBCB}"/>
    <cellStyle name="60% - Accent6 2" xfId="42" xr:uid="{3B8233AE-44C7-477E-91EB-2528F119F13A}"/>
    <cellStyle name="Accent1 2" xfId="19" xr:uid="{A07F14F2-18DE-459E-8E1E-9DE90336202B}"/>
    <cellStyle name="Accent2 2" xfId="23" xr:uid="{081139FB-CAFE-4235-90D0-A9F98402EB7D}"/>
    <cellStyle name="Accent3 2" xfId="27" xr:uid="{FFE9AC41-41D2-4EB5-B8BA-9417F40D2EB4}"/>
    <cellStyle name="Accent4 2" xfId="31" xr:uid="{FD9E9905-6FC2-49BA-A8CC-FE12FCC2741B}"/>
    <cellStyle name="Accent5 2" xfId="35" xr:uid="{BB365305-B02B-4A46-A1F1-0FF8E773C0C6}"/>
    <cellStyle name="Accent6 2" xfId="39" xr:uid="{1D6AD9AE-20BE-4ECF-8284-F61E5C55A5F6}"/>
    <cellStyle name="Bad 2" xfId="9" xr:uid="{AE0603C3-B3EA-4DE5-8F2C-D77B6826CF4D}"/>
    <cellStyle name="Calculation 2" xfId="13" xr:uid="{FE59159B-92E2-4AE2-A9FB-9DD2BCDD1071}"/>
    <cellStyle name="Check Cell 2" xfId="15" xr:uid="{D0A63AA2-E06A-411E-8BAA-AA583075FEA6}"/>
    <cellStyle name="Comma" xfId="1" builtinId="3"/>
    <cellStyle name="Explanatory Text 2" xfId="17" xr:uid="{0ACE8195-6043-4EE8-99F7-E7BEA0BBA518}"/>
    <cellStyle name="Good 2" xfId="8" xr:uid="{A6372DEA-6A89-4BE8-B175-E843DB692553}"/>
    <cellStyle name="Heading 1 2" xfId="4" xr:uid="{D424639A-863F-4A7F-9BAC-02D0DE52462A}"/>
    <cellStyle name="Heading 2 2" xfId="5" xr:uid="{9A26ACD3-9E6B-4CCA-A97C-50B04521BAF4}"/>
    <cellStyle name="Heading 3 2" xfId="6" xr:uid="{A71CE7B0-59B5-4379-AFF5-4A9BCAABCAEC}"/>
    <cellStyle name="Heading 4 2" xfId="7" xr:uid="{EEDF1778-1E46-42DC-897C-9219ACCE7531}"/>
    <cellStyle name="Input 2" xfId="11" xr:uid="{3D8DCA57-F3D2-4B7B-B7D6-3C0844EBD03E}"/>
    <cellStyle name="Linked Cell 2" xfId="14" xr:uid="{DB9CA00E-0900-44FA-91A3-AF784CBFD0D9}"/>
    <cellStyle name="Neutral 2" xfId="10" xr:uid="{FBBCCA92-EAF6-48E6-B106-15B24AFA9BF8}"/>
    <cellStyle name="Normal" xfId="0" builtinId="0"/>
    <cellStyle name="Normal 2" xfId="43" xr:uid="{E2BAE2EC-2672-4D2F-9C83-D163A7A1FF29}"/>
    <cellStyle name="Normal 3" xfId="96" xr:uid="{380BD5BE-2449-4D78-B5C9-B4A95575CDC1}"/>
    <cellStyle name="Note 2" xfId="44" xr:uid="{BBE68DE5-5D46-40AF-8005-F553E1A7F7FF}"/>
    <cellStyle name="Note 2 2" xfId="97" xr:uid="{6DA3884D-CCE7-41BA-9343-3DF67753D9A3}"/>
    <cellStyle name="Note 3" xfId="45" xr:uid="{23468456-AA16-44B4-BFD7-A181D113801F}"/>
    <cellStyle name="Note 3 2" xfId="98" xr:uid="{709633B5-F0D5-4B1C-B3D3-95B89EBF912F}"/>
    <cellStyle name="Note 4" xfId="58" xr:uid="{6684C23E-EEFA-447B-9100-92F767DD0F01}"/>
    <cellStyle name="Note 4 2" xfId="111" xr:uid="{58AFBF9D-B8FD-43C9-B304-E46467BE4643}"/>
    <cellStyle name="Note 5" xfId="71" xr:uid="{5713965C-7882-4FC8-B9E6-D4A2D6D28D99}"/>
    <cellStyle name="Note 5 2" xfId="124" xr:uid="{7E6EB735-D6FE-4300-A806-0098CC5AF7C8}"/>
    <cellStyle name="Output 2" xfId="12" xr:uid="{BA1BB326-D07A-48E8-B5D7-538259994863}"/>
    <cellStyle name="Percent" xfId="2" builtinId="5"/>
    <cellStyle name="Title 2" xfId="3" xr:uid="{C2FDFFAC-4E7B-40EB-B64F-A8E433FEC88B}"/>
    <cellStyle name="Total 2" xfId="18" xr:uid="{F794DDB8-DF5F-4FE3-9D32-F4ABCDD2FE4A}"/>
    <cellStyle name="Warning Text 2" xfId="16" xr:uid="{FC626D75-18DE-43D1-ADB5-1EDC0AAFA389}"/>
  </cellStyles>
  <dxfs count="0"/>
  <tableStyles count="0" defaultTableStyle="TableStyleMedium2" defaultPivotStyle="PivotStyleLight16"/>
  <colors>
    <mruColors>
      <color rgb="FFFCE4D6"/>
      <color rgb="FFD9D9D9"/>
      <color rgb="FFE2EFDA"/>
      <color rgb="FFFF99FF"/>
      <color rgb="FFCCFFFF"/>
      <color rgb="FFD0CECE"/>
      <color rgb="FF000000"/>
      <color rgb="FF62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5FFF-5F22-4985-9890-61F1BCB1E0E3}">
  <sheetPr>
    <tabColor rgb="FF92D050"/>
    <pageSetUpPr fitToPage="1"/>
  </sheetPr>
  <dimension ref="A1:V1048407"/>
  <sheetViews>
    <sheetView zoomScaleNormal="100" workbookViewId="0">
      <selection activeCell="C8" sqref="C8"/>
    </sheetView>
  </sheetViews>
  <sheetFormatPr defaultRowHeight="15"/>
  <cols>
    <col min="1" max="1" width="4.42578125" customWidth="1"/>
    <col min="2" max="2" width="13.140625" style="6" customWidth="1"/>
    <col min="3" max="3" width="29.28515625" customWidth="1"/>
    <col min="4" max="4" width="12.42578125" customWidth="1"/>
    <col min="5" max="5" width="8.42578125" customWidth="1"/>
    <col min="6" max="6" width="10.42578125" customWidth="1"/>
    <col min="7" max="7" width="12.42578125" customWidth="1"/>
    <col min="8" max="8" width="8.42578125" style="6" customWidth="1"/>
    <col min="9" max="9" width="10.42578125" style="6" bestFit="1" customWidth="1"/>
    <col min="10" max="10" width="10.42578125" style="6" customWidth="1"/>
    <col min="11" max="11" width="15.42578125" style="7" bestFit="1" customWidth="1"/>
    <col min="12" max="12" width="11.7109375" style="8" customWidth="1"/>
    <col min="13" max="13" width="21.42578125" style="8" customWidth="1"/>
    <col min="14" max="14" width="15" style="8" customWidth="1"/>
    <col min="15" max="15" width="14.5703125" customWidth="1"/>
    <col min="16" max="16" width="21.7109375" customWidth="1"/>
    <col min="17" max="17" width="12.42578125" customWidth="1"/>
    <col min="18" max="18" width="13.140625" customWidth="1"/>
    <col min="19" max="19" width="19.140625" customWidth="1"/>
    <col min="20" max="20" width="14" customWidth="1"/>
    <col min="21" max="21" width="9.140625" bestFit="1" customWidth="1"/>
  </cols>
  <sheetData>
    <row r="1" spans="1:22" ht="31.5" customHeight="1">
      <c r="A1" s="608" t="s">
        <v>0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87"/>
    </row>
    <row r="2" spans="1:22" ht="65.45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171" t="s">
        <v>12</v>
      </c>
      <c r="M2" s="170" t="s">
        <v>13</v>
      </c>
      <c r="N2" s="199" t="s">
        <v>14</v>
      </c>
      <c r="O2" s="3" t="s">
        <v>15</v>
      </c>
      <c r="P2" s="2" t="s">
        <v>16</v>
      </c>
      <c r="Q2" s="2" t="s">
        <v>17</v>
      </c>
      <c r="R2" s="2" t="s">
        <v>18</v>
      </c>
      <c r="S2" s="131" t="s">
        <v>19</v>
      </c>
      <c r="T2" s="3" t="s">
        <v>20</v>
      </c>
      <c r="U2" s="4" t="s">
        <v>17</v>
      </c>
      <c r="V2" s="4" t="s">
        <v>21</v>
      </c>
    </row>
    <row r="3" spans="1:22">
      <c r="A3" s="70">
        <v>1</v>
      </c>
      <c r="B3" s="163">
        <v>92836257</v>
      </c>
      <c r="C3" s="156" t="s">
        <v>22</v>
      </c>
      <c r="D3" s="164" t="s">
        <v>23</v>
      </c>
      <c r="E3" s="137">
        <v>16</v>
      </c>
      <c r="F3" s="138">
        <v>17.404</v>
      </c>
      <c r="G3" s="138">
        <v>16</v>
      </c>
      <c r="H3" s="138">
        <v>80</v>
      </c>
      <c r="I3" s="138" t="s">
        <v>24</v>
      </c>
      <c r="J3" s="169" t="s">
        <v>25</v>
      </c>
      <c r="K3" s="81">
        <v>46034</v>
      </c>
      <c r="L3" s="139" t="s">
        <v>26</v>
      </c>
      <c r="M3" s="97" t="s">
        <v>27</v>
      </c>
      <c r="N3" s="75" t="s">
        <v>28</v>
      </c>
      <c r="O3" s="609">
        <f>1400*3</f>
        <v>4200</v>
      </c>
      <c r="P3" s="612" t="s">
        <v>29</v>
      </c>
      <c r="Q3" s="615">
        <v>7600</v>
      </c>
      <c r="R3" s="615">
        <f t="shared" ref="R3:R18" si="0">Q3/3.673</f>
        <v>2069.1532806969781</v>
      </c>
      <c r="S3" s="617">
        <f>(O3-R3)/O3</f>
        <v>0.50734445697691</v>
      </c>
      <c r="T3" s="134"/>
      <c r="U3" s="66"/>
      <c r="V3" s="66"/>
    </row>
    <row r="4" spans="1:22">
      <c r="A4" s="70">
        <v>2</v>
      </c>
      <c r="B4" s="163">
        <v>92836260</v>
      </c>
      <c r="C4" s="156" t="s">
        <v>22</v>
      </c>
      <c r="D4" s="164" t="s">
        <v>23</v>
      </c>
      <c r="E4" s="137">
        <v>16</v>
      </c>
      <c r="F4" s="138">
        <v>17.404</v>
      </c>
      <c r="G4" s="138">
        <v>16</v>
      </c>
      <c r="H4" s="138">
        <v>80</v>
      </c>
      <c r="I4" s="138" t="s">
        <v>24</v>
      </c>
      <c r="J4" s="169" t="s">
        <v>25</v>
      </c>
      <c r="K4" s="81">
        <v>46034</v>
      </c>
      <c r="L4" s="139" t="s">
        <v>26</v>
      </c>
      <c r="M4" s="97" t="s">
        <v>27</v>
      </c>
      <c r="N4" s="75" t="s">
        <v>28</v>
      </c>
      <c r="O4" s="610"/>
      <c r="P4" s="613"/>
      <c r="Q4" s="616"/>
      <c r="R4" s="616"/>
      <c r="S4" s="618"/>
      <c r="T4" s="134"/>
      <c r="U4" s="66"/>
      <c r="V4" s="66"/>
    </row>
    <row r="5" spans="1:22">
      <c r="A5" s="70">
        <v>3</v>
      </c>
      <c r="B5" s="163">
        <v>92836261</v>
      </c>
      <c r="C5" s="156" t="s">
        <v>22</v>
      </c>
      <c r="D5" s="164" t="s">
        <v>23</v>
      </c>
      <c r="E5" s="78">
        <v>16.2</v>
      </c>
      <c r="F5" s="96">
        <v>17.225999999999999</v>
      </c>
      <c r="G5" s="73">
        <v>16.2</v>
      </c>
      <c r="H5" s="73">
        <v>18</v>
      </c>
      <c r="I5" s="73" t="s">
        <v>30</v>
      </c>
      <c r="J5" s="169" t="s">
        <v>25</v>
      </c>
      <c r="K5" s="81">
        <v>46034</v>
      </c>
      <c r="L5" s="139" t="s">
        <v>26</v>
      </c>
      <c r="M5" s="97" t="s">
        <v>27</v>
      </c>
      <c r="N5" s="75" t="s">
        <v>28</v>
      </c>
      <c r="O5" s="611"/>
      <c r="P5" s="614"/>
      <c r="Q5" s="607"/>
      <c r="R5" s="607"/>
      <c r="S5" s="619"/>
      <c r="T5" s="134"/>
      <c r="U5" s="66"/>
      <c r="V5" s="66"/>
    </row>
    <row r="6" spans="1:22" ht="45">
      <c r="A6" s="70">
        <v>4</v>
      </c>
      <c r="B6" s="201">
        <v>92862468</v>
      </c>
      <c r="C6" s="119" t="s">
        <v>31</v>
      </c>
      <c r="D6" s="77" t="s">
        <v>23</v>
      </c>
      <c r="E6" s="79">
        <v>22.4</v>
      </c>
      <c r="F6" s="85">
        <v>22.4</v>
      </c>
      <c r="G6" s="73">
        <v>22.5</v>
      </c>
      <c r="H6" s="71"/>
      <c r="I6" s="71" t="s">
        <v>32</v>
      </c>
      <c r="J6" s="73" t="s">
        <v>33</v>
      </c>
      <c r="K6" s="81">
        <v>46027</v>
      </c>
      <c r="L6" s="139">
        <v>46028</v>
      </c>
      <c r="M6" s="82" t="s">
        <v>34</v>
      </c>
      <c r="N6" s="200" t="s">
        <v>35</v>
      </c>
      <c r="O6" s="165">
        <v>420</v>
      </c>
      <c r="P6" s="268" t="s">
        <v>36</v>
      </c>
      <c r="Q6" s="165">
        <v>971.25</v>
      </c>
      <c r="R6" s="266">
        <f t="shared" si="0"/>
        <v>264.42962156275524</v>
      </c>
      <c r="S6" s="133">
        <f t="shared" ref="S6:S18" si="1">(O6-R6)/O6</f>
        <v>0.37040566294582083</v>
      </c>
      <c r="T6" s="80" t="s">
        <v>37</v>
      </c>
      <c r="U6" s="84">
        <v>560.85</v>
      </c>
      <c r="V6" s="66"/>
    </row>
    <row r="7" spans="1:22" ht="45">
      <c r="A7" s="70">
        <v>5</v>
      </c>
      <c r="B7" s="201">
        <v>92862469</v>
      </c>
      <c r="C7" s="119" t="s">
        <v>31</v>
      </c>
      <c r="D7" s="77" t="s">
        <v>23</v>
      </c>
      <c r="E7" s="79">
        <v>22.4</v>
      </c>
      <c r="F7" s="85">
        <v>22.4</v>
      </c>
      <c r="G7" s="73">
        <v>22.2</v>
      </c>
      <c r="H7" s="71"/>
      <c r="I7" s="71" t="s">
        <v>32</v>
      </c>
      <c r="J7" s="73" t="s">
        <v>33</v>
      </c>
      <c r="K7" s="81">
        <v>46041</v>
      </c>
      <c r="L7" s="139">
        <v>46041</v>
      </c>
      <c r="M7" s="82" t="s">
        <v>34</v>
      </c>
      <c r="N7" s="136" t="s">
        <v>35</v>
      </c>
      <c r="O7" s="165">
        <v>420</v>
      </c>
      <c r="P7" s="268" t="s">
        <v>36</v>
      </c>
      <c r="Q7" s="165">
        <v>971.25</v>
      </c>
      <c r="R7" s="266">
        <f>Q7/3.673</f>
        <v>264.42962156275524</v>
      </c>
      <c r="S7" s="133">
        <f t="shared" si="1"/>
        <v>0.37040566294582083</v>
      </c>
      <c r="T7" s="80" t="s">
        <v>37</v>
      </c>
      <c r="U7" s="84">
        <v>560.85</v>
      </c>
      <c r="V7" s="66"/>
    </row>
    <row r="8" spans="1:22" ht="45">
      <c r="A8" s="70">
        <v>6</v>
      </c>
      <c r="B8" s="258">
        <v>92881592</v>
      </c>
      <c r="C8" s="156" t="s">
        <v>38</v>
      </c>
      <c r="D8" s="172" t="s">
        <v>23</v>
      </c>
      <c r="E8" s="157">
        <v>22.4</v>
      </c>
      <c r="F8" s="99">
        <v>22.4</v>
      </c>
      <c r="G8" s="99">
        <v>22.4</v>
      </c>
      <c r="H8" s="99"/>
      <c r="I8" s="99" t="s">
        <v>32</v>
      </c>
      <c r="J8" s="99" t="s">
        <v>33</v>
      </c>
      <c r="K8" s="81">
        <v>46031</v>
      </c>
      <c r="L8" s="139">
        <v>46035</v>
      </c>
      <c r="M8" s="82" t="s">
        <v>39</v>
      </c>
      <c r="N8" s="82" t="s">
        <v>40</v>
      </c>
      <c r="O8" s="165">
        <v>3000</v>
      </c>
      <c r="P8" s="268" t="s">
        <v>41</v>
      </c>
      <c r="Q8" s="165">
        <v>9135</v>
      </c>
      <c r="R8" s="266">
        <f t="shared" si="0"/>
        <v>2487.0677919956438</v>
      </c>
      <c r="S8" s="133">
        <f t="shared" si="1"/>
        <v>0.17097740266811873</v>
      </c>
      <c r="T8" s="264" t="s">
        <v>42</v>
      </c>
      <c r="U8" s="84">
        <v>864.25</v>
      </c>
      <c r="V8" s="66"/>
    </row>
    <row r="9" spans="1:22" ht="45">
      <c r="A9" s="70">
        <v>7</v>
      </c>
      <c r="B9" s="258">
        <v>92881593</v>
      </c>
      <c r="C9" s="156" t="s">
        <v>38</v>
      </c>
      <c r="D9" s="172" t="s">
        <v>23</v>
      </c>
      <c r="E9" s="157">
        <v>22.4</v>
      </c>
      <c r="F9" s="99">
        <v>22.4</v>
      </c>
      <c r="G9" s="99">
        <v>22.37</v>
      </c>
      <c r="H9" s="99"/>
      <c r="I9" s="99" t="s">
        <v>32</v>
      </c>
      <c r="J9" s="99" t="s">
        <v>33</v>
      </c>
      <c r="K9" s="81">
        <v>46041</v>
      </c>
      <c r="L9" s="139">
        <v>46043</v>
      </c>
      <c r="M9" s="82" t="s">
        <v>39</v>
      </c>
      <c r="N9" s="82" t="s">
        <v>40</v>
      </c>
      <c r="O9" s="165">
        <v>3000</v>
      </c>
      <c r="P9" s="297" t="s">
        <v>43</v>
      </c>
      <c r="Q9" s="165">
        <v>9135</v>
      </c>
      <c r="R9" s="266">
        <f t="shared" si="0"/>
        <v>2487.0677919956438</v>
      </c>
      <c r="S9" s="155">
        <f t="shared" si="1"/>
        <v>0.17097740266811873</v>
      </c>
      <c r="T9" s="264" t="s">
        <v>44</v>
      </c>
      <c r="U9" s="84">
        <v>864.25</v>
      </c>
      <c r="V9" s="66"/>
    </row>
    <row r="10" spans="1:22" ht="45">
      <c r="A10" s="70">
        <v>8</v>
      </c>
      <c r="B10" s="258">
        <v>92881594</v>
      </c>
      <c r="C10" s="156" t="s">
        <v>45</v>
      </c>
      <c r="D10" s="164" t="s">
        <v>23</v>
      </c>
      <c r="E10" s="137">
        <v>19.8</v>
      </c>
      <c r="F10" s="138">
        <v>21.053999999999998</v>
      </c>
      <c r="G10" s="138">
        <v>19.8</v>
      </c>
      <c r="H10" s="138">
        <v>22</v>
      </c>
      <c r="I10" s="138" t="s">
        <v>30</v>
      </c>
      <c r="J10" s="138" t="s">
        <v>33</v>
      </c>
      <c r="K10" s="81">
        <v>46036</v>
      </c>
      <c r="L10" s="139">
        <v>46040</v>
      </c>
      <c r="M10" s="82" t="s">
        <v>39</v>
      </c>
      <c r="N10" s="82" t="s">
        <v>46</v>
      </c>
      <c r="O10" s="165">
        <v>2540</v>
      </c>
      <c r="P10" s="270" t="s">
        <v>47</v>
      </c>
      <c r="Q10" s="269">
        <v>6820</v>
      </c>
      <c r="R10" s="274">
        <f t="shared" si="0"/>
        <v>1856.7928124149196</v>
      </c>
      <c r="S10" s="133">
        <f t="shared" si="1"/>
        <v>0.26897920771066158</v>
      </c>
      <c r="T10" s="264" t="s">
        <v>48</v>
      </c>
      <c r="U10" s="84">
        <v>864.25</v>
      </c>
      <c r="V10" s="66"/>
    </row>
    <row r="11" spans="1:22" ht="45">
      <c r="A11" s="70">
        <v>9</v>
      </c>
      <c r="B11" s="258">
        <v>92881595</v>
      </c>
      <c r="C11" s="156" t="s">
        <v>45</v>
      </c>
      <c r="D11" s="164" t="s">
        <v>23</v>
      </c>
      <c r="E11" s="137">
        <v>19.8</v>
      </c>
      <c r="F11" s="138">
        <v>21.053999999999998</v>
      </c>
      <c r="G11" s="138">
        <v>19.8</v>
      </c>
      <c r="H11" s="138">
        <v>22</v>
      </c>
      <c r="I11" s="138" t="s">
        <v>30</v>
      </c>
      <c r="J11" s="138" t="s">
        <v>33</v>
      </c>
      <c r="K11" s="81">
        <v>46043</v>
      </c>
      <c r="L11" s="139">
        <v>46048</v>
      </c>
      <c r="M11" s="82" t="s">
        <v>39</v>
      </c>
      <c r="N11" s="82" t="s">
        <v>46</v>
      </c>
      <c r="O11" s="165">
        <v>2540</v>
      </c>
      <c r="P11" s="273" t="s">
        <v>49</v>
      </c>
      <c r="Q11" s="269">
        <v>6820</v>
      </c>
      <c r="R11" s="274">
        <f t="shared" si="0"/>
        <v>1856.7928124149196</v>
      </c>
      <c r="S11" s="133">
        <f>(O11-R11)/O11</f>
        <v>0.26897920771066158</v>
      </c>
      <c r="T11" s="264" t="s">
        <v>50</v>
      </c>
      <c r="U11" s="84">
        <v>864.25</v>
      </c>
      <c r="V11" s="66"/>
    </row>
    <row r="12" spans="1:22" ht="30">
      <c r="A12" s="70">
        <v>10</v>
      </c>
      <c r="B12" s="163">
        <v>92885102</v>
      </c>
      <c r="C12" s="156" t="s">
        <v>51</v>
      </c>
      <c r="D12" s="164" t="s">
        <v>23</v>
      </c>
      <c r="E12" s="78">
        <v>16.2</v>
      </c>
      <c r="F12" s="96">
        <v>17.225999999999999</v>
      </c>
      <c r="G12" s="73">
        <v>16.2</v>
      </c>
      <c r="H12" s="73">
        <v>18</v>
      </c>
      <c r="I12" s="73" t="s">
        <v>30</v>
      </c>
      <c r="J12" s="169" t="s">
        <v>25</v>
      </c>
      <c r="K12" s="81">
        <v>46045</v>
      </c>
      <c r="L12" s="139" t="s">
        <v>52</v>
      </c>
      <c r="M12" s="82" t="s">
        <v>27</v>
      </c>
      <c r="N12" s="200" t="s">
        <v>28</v>
      </c>
      <c r="O12" s="166">
        <v>2145</v>
      </c>
      <c r="P12" s="268" t="s">
        <v>53</v>
      </c>
      <c r="Q12" s="165">
        <v>4350</v>
      </c>
      <c r="R12" s="266">
        <f t="shared" si="0"/>
        <v>1184.3179961884018</v>
      </c>
      <c r="S12" s="181">
        <f t="shared" si="1"/>
        <v>0.44787039804736511</v>
      </c>
      <c r="T12" s="134"/>
      <c r="U12" s="66"/>
      <c r="V12" s="66"/>
    </row>
    <row r="13" spans="1:22">
      <c r="A13" s="70">
        <v>11</v>
      </c>
      <c r="B13" s="163">
        <v>92885197</v>
      </c>
      <c r="C13" s="74" t="s">
        <v>54</v>
      </c>
      <c r="D13" s="172" t="s">
        <v>23</v>
      </c>
      <c r="E13" s="78">
        <v>16.2</v>
      </c>
      <c r="F13" s="96">
        <v>17.225999999999999</v>
      </c>
      <c r="G13" s="73">
        <v>16.2</v>
      </c>
      <c r="H13" s="73">
        <v>18</v>
      </c>
      <c r="I13" s="73" t="s">
        <v>30</v>
      </c>
      <c r="J13" s="138" t="s">
        <v>33</v>
      </c>
      <c r="K13" s="139">
        <v>46036</v>
      </c>
      <c r="L13" s="139">
        <v>46036</v>
      </c>
      <c r="M13" s="82" t="s">
        <v>55</v>
      </c>
      <c r="N13" s="136" t="s">
        <v>56</v>
      </c>
      <c r="O13" s="140">
        <v>0</v>
      </c>
      <c r="P13" s="268" t="s">
        <v>57</v>
      </c>
      <c r="Q13" s="166">
        <v>0</v>
      </c>
      <c r="R13" s="266">
        <v>0</v>
      </c>
      <c r="S13" s="132" t="s">
        <v>57</v>
      </c>
      <c r="T13" s="65"/>
      <c r="U13" s="66"/>
      <c r="V13" s="66"/>
    </row>
    <row r="14" spans="1:22" ht="150">
      <c r="A14" s="70">
        <v>12</v>
      </c>
      <c r="B14" s="258">
        <v>92888462</v>
      </c>
      <c r="C14" s="156" t="s">
        <v>58</v>
      </c>
      <c r="D14" s="164" t="s">
        <v>23</v>
      </c>
      <c r="E14" s="137">
        <v>22.4</v>
      </c>
      <c r="F14" s="138">
        <v>22.4</v>
      </c>
      <c r="G14" s="138">
        <v>22.4</v>
      </c>
      <c r="H14" s="138"/>
      <c r="I14" s="138" t="s">
        <v>32</v>
      </c>
      <c r="J14" s="138" t="s">
        <v>33</v>
      </c>
      <c r="K14" s="81">
        <v>46045</v>
      </c>
      <c r="L14" s="139">
        <v>46047</v>
      </c>
      <c r="M14" s="82" t="s">
        <v>39</v>
      </c>
      <c r="N14" s="136" t="s">
        <v>35</v>
      </c>
      <c r="O14" s="165">
        <v>1500</v>
      </c>
      <c r="P14" s="268" t="s">
        <v>59</v>
      </c>
      <c r="Q14" s="269">
        <v>3700</v>
      </c>
      <c r="R14" s="266">
        <f t="shared" si="0"/>
        <v>1007.3509392866866</v>
      </c>
      <c r="S14" s="132">
        <f t="shared" si="1"/>
        <v>0.3284327071422089</v>
      </c>
      <c r="T14" s="80" t="s">
        <v>60</v>
      </c>
      <c r="U14" s="84">
        <f>820.5-26.25</f>
        <v>794.25</v>
      </c>
      <c r="V14" s="66"/>
    </row>
    <row r="15" spans="1:22">
      <c r="A15" s="70">
        <v>13</v>
      </c>
      <c r="B15" s="163">
        <v>92888487</v>
      </c>
      <c r="C15" s="156" t="s">
        <v>61</v>
      </c>
      <c r="D15" s="164" t="s">
        <v>23</v>
      </c>
      <c r="E15" s="78">
        <v>16</v>
      </c>
      <c r="F15" s="96">
        <v>17.404</v>
      </c>
      <c r="G15" s="73">
        <v>16</v>
      </c>
      <c r="H15" s="73">
        <v>80</v>
      </c>
      <c r="I15" s="73" t="s">
        <v>24</v>
      </c>
      <c r="J15" s="169" t="s">
        <v>25</v>
      </c>
      <c r="K15" s="81">
        <v>46045</v>
      </c>
      <c r="L15" s="139">
        <v>46047</v>
      </c>
      <c r="M15" s="97" t="s">
        <v>27</v>
      </c>
      <c r="N15" s="75" t="s">
        <v>28</v>
      </c>
      <c r="O15" s="606">
        <f>2145*2</f>
        <v>4290</v>
      </c>
      <c r="P15" s="620" t="s">
        <v>62</v>
      </c>
      <c r="Q15" s="606">
        <v>7800</v>
      </c>
      <c r="R15" s="606">
        <f t="shared" si="0"/>
        <v>2123.6046828205826</v>
      </c>
      <c r="S15" s="617">
        <f t="shared" si="1"/>
        <v>0.50498725342177564</v>
      </c>
      <c r="T15" s="65"/>
      <c r="U15" s="66"/>
      <c r="V15" s="66"/>
    </row>
    <row r="16" spans="1:22">
      <c r="A16" s="70">
        <v>14</v>
      </c>
      <c r="B16" s="168">
        <v>92888488</v>
      </c>
      <c r="C16" s="156" t="s">
        <v>61</v>
      </c>
      <c r="D16" s="164" t="s">
        <v>23</v>
      </c>
      <c r="E16" s="78">
        <v>16</v>
      </c>
      <c r="F16" s="96">
        <v>17.404</v>
      </c>
      <c r="G16" s="73">
        <v>16</v>
      </c>
      <c r="H16" s="73">
        <v>80</v>
      </c>
      <c r="I16" s="73" t="s">
        <v>24</v>
      </c>
      <c r="J16" s="169" t="s">
        <v>25</v>
      </c>
      <c r="K16" s="81">
        <v>46045</v>
      </c>
      <c r="L16" s="139">
        <v>46047</v>
      </c>
      <c r="M16" s="97" t="s">
        <v>27</v>
      </c>
      <c r="N16" s="75" t="s">
        <v>28</v>
      </c>
      <c r="O16" s="607"/>
      <c r="P16" s="614"/>
      <c r="Q16" s="607"/>
      <c r="R16" s="607"/>
      <c r="S16" s="619"/>
      <c r="T16" s="65"/>
      <c r="U16" s="66"/>
      <c r="V16" s="66"/>
    </row>
    <row r="17" spans="1:22" ht="30">
      <c r="A17" s="70">
        <v>15</v>
      </c>
      <c r="B17" s="257">
        <v>92890593</v>
      </c>
      <c r="C17" s="119" t="s">
        <v>31</v>
      </c>
      <c r="D17" s="242" t="s">
        <v>23</v>
      </c>
      <c r="E17" s="79">
        <v>22.4</v>
      </c>
      <c r="F17" s="85">
        <v>22.4</v>
      </c>
      <c r="G17" s="71">
        <v>22.36</v>
      </c>
      <c r="H17" s="71"/>
      <c r="I17" s="71" t="s">
        <v>32</v>
      </c>
      <c r="J17" s="71" t="s">
        <v>33</v>
      </c>
      <c r="K17" s="81">
        <v>46049</v>
      </c>
      <c r="L17" s="139">
        <v>46049</v>
      </c>
      <c r="M17" s="81" t="s">
        <v>63</v>
      </c>
      <c r="N17" s="136" t="s">
        <v>64</v>
      </c>
      <c r="O17" s="243">
        <v>420</v>
      </c>
      <c r="P17" s="270" t="s">
        <v>65</v>
      </c>
      <c r="Q17" s="271">
        <v>761.25</v>
      </c>
      <c r="R17" s="266">
        <f t="shared" si="0"/>
        <v>207.25564933297034</v>
      </c>
      <c r="S17" s="132">
        <f t="shared" si="1"/>
        <v>0.50653416825483255</v>
      </c>
      <c r="T17" s="262" t="s">
        <v>66</v>
      </c>
      <c r="U17" s="263">
        <v>560.85</v>
      </c>
      <c r="V17" s="66"/>
    </row>
    <row r="18" spans="1:22" ht="120">
      <c r="A18" s="72">
        <v>16</v>
      </c>
      <c r="B18" s="261">
        <v>92906098</v>
      </c>
      <c r="C18" s="156" t="s">
        <v>67</v>
      </c>
      <c r="D18" s="244" t="s">
        <v>23</v>
      </c>
      <c r="E18" s="157">
        <v>22.5</v>
      </c>
      <c r="F18" s="99">
        <v>22.5</v>
      </c>
      <c r="G18" s="99">
        <v>22.58</v>
      </c>
      <c r="H18" s="99"/>
      <c r="I18" s="99" t="s">
        <v>32</v>
      </c>
      <c r="J18" s="99" t="s">
        <v>33</v>
      </c>
      <c r="K18" s="82">
        <v>46051</v>
      </c>
      <c r="L18" s="82">
        <v>46057</v>
      </c>
      <c r="M18" s="82" t="s">
        <v>39</v>
      </c>
      <c r="N18" s="82" t="s">
        <v>40</v>
      </c>
      <c r="O18" s="165">
        <v>3380</v>
      </c>
      <c r="P18" s="268" t="s">
        <v>68</v>
      </c>
      <c r="Q18" s="165">
        <v>8935</v>
      </c>
      <c r="R18" s="292">
        <f t="shared" si="0"/>
        <v>2432.6163898720392</v>
      </c>
      <c r="S18" s="133">
        <f t="shared" si="1"/>
        <v>0.28029100891359787</v>
      </c>
      <c r="T18" s="80" t="s">
        <v>69</v>
      </c>
      <c r="U18" s="84">
        <v>684.25</v>
      </c>
      <c r="V18" s="267">
        <v>7272</v>
      </c>
    </row>
    <row r="19" spans="1:22" s="31" customFormat="1" ht="15.75">
      <c r="A19" s="141">
        <f>COUNT(A3:A18)</f>
        <v>16</v>
      </c>
      <c r="B19" s="22"/>
      <c r="E19" s="142">
        <f>SUM(E3:E18)</f>
        <v>309.10000000000002</v>
      </c>
      <c r="G19" s="143">
        <f>SUM(G3:G18)</f>
        <v>309.01000000000005</v>
      </c>
      <c r="H19" s="22"/>
      <c r="I19" s="22"/>
      <c r="J19" s="22"/>
      <c r="K19" s="144"/>
      <c r="L19" s="145"/>
      <c r="M19" s="145"/>
      <c r="N19" s="94"/>
      <c r="P19" s="146"/>
      <c r="Q19" s="147">
        <f>SUM(Q3:Q18)</f>
        <v>66998.75</v>
      </c>
      <c r="R19" s="145"/>
    </row>
    <row r="20" spans="1:22">
      <c r="A20" s="6" t="s">
        <v>70</v>
      </c>
      <c r="C20" s="6"/>
      <c r="D20" s="7"/>
      <c r="E20" s="8"/>
      <c r="F20" s="8"/>
      <c r="G20" s="8"/>
      <c r="H20"/>
      <c r="I20"/>
      <c r="J20"/>
      <c r="K20"/>
      <c r="M20"/>
    </row>
    <row r="21" spans="1:22">
      <c r="A21" s="6"/>
      <c r="B21" s="178"/>
      <c r="C21" s="6" t="s">
        <v>71</v>
      </c>
      <c r="D21" s="7"/>
      <c r="E21" s="8"/>
      <c r="F21" s="8"/>
      <c r="G21" s="8"/>
      <c r="H21"/>
      <c r="I21"/>
      <c r="J21"/>
      <c r="K21"/>
      <c r="L21"/>
      <c r="M21"/>
      <c r="N21"/>
    </row>
    <row r="22" spans="1:22">
      <c r="A22" s="6"/>
      <c r="C22" s="6"/>
      <c r="D22" s="7"/>
      <c r="E22" s="8"/>
      <c r="F22" s="9" t="s">
        <v>72</v>
      </c>
      <c r="G22" s="8"/>
      <c r="H22"/>
      <c r="I22"/>
      <c r="J22"/>
      <c r="K22"/>
      <c r="L22"/>
      <c r="M22"/>
      <c r="N22"/>
    </row>
    <row r="23" spans="1:22">
      <c r="A23" s="7"/>
      <c r="B23" s="8"/>
      <c r="C23" s="8"/>
      <c r="D23" s="8"/>
      <c r="F23" t="s">
        <v>73</v>
      </c>
      <c r="H23"/>
      <c r="I23"/>
      <c r="J23"/>
      <c r="K23"/>
      <c r="L23"/>
      <c r="M23"/>
      <c r="N23"/>
    </row>
    <row r="24" spans="1:22">
      <c r="A24" s="7"/>
      <c r="B24" s="8"/>
      <c r="C24" s="8"/>
      <c r="D24" s="8"/>
      <c r="F24" t="s">
        <v>74</v>
      </c>
      <c r="H24"/>
      <c r="I24"/>
      <c r="J24"/>
      <c r="K24"/>
      <c r="L24"/>
      <c r="M24"/>
      <c r="N24"/>
    </row>
    <row r="25" spans="1:22">
      <c r="A25" s="7"/>
      <c r="B25" s="8"/>
      <c r="C25" s="8"/>
      <c r="D25" s="8"/>
      <c r="F25" t="s">
        <v>75</v>
      </c>
      <c r="H25"/>
      <c r="I25"/>
      <c r="J25"/>
      <c r="K25"/>
      <c r="L25"/>
      <c r="M25"/>
      <c r="N25"/>
    </row>
    <row r="26" spans="1:22">
      <c r="F26" t="s">
        <v>76</v>
      </c>
      <c r="N26"/>
    </row>
    <row r="27" spans="1:22" ht="14.1" customHeight="1">
      <c r="A27" s="10" t="s">
        <v>77</v>
      </c>
      <c r="B27" s="10"/>
      <c r="C27" s="10"/>
      <c r="F27" t="s">
        <v>78</v>
      </c>
    </row>
    <row r="29" spans="1:22">
      <c r="A29" s="6"/>
      <c r="B29"/>
    </row>
    <row r="30" spans="1:22">
      <c r="B30" s="7"/>
    </row>
    <row r="31" spans="1:22">
      <c r="B31" s="7"/>
    </row>
    <row r="32" spans="1:22">
      <c r="B32" s="182"/>
      <c r="C32" s="183"/>
      <c r="D32" s="184"/>
      <c r="E32" s="185"/>
      <c r="F32" s="186"/>
      <c r="G32" s="182"/>
      <c r="H32" s="182"/>
      <c r="I32" s="182"/>
      <c r="J32" s="182"/>
      <c r="K32" s="187"/>
      <c r="L32" s="188"/>
      <c r="M32" s="188"/>
      <c r="N32" s="188"/>
      <c r="O32" s="189"/>
      <c r="P32" s="188"/>
    </row>
    <row r="1048407" spans="3:19" s="6" customFormat="1">
      <c r="C1048407"/>
      <c r="D1048407" s="11"/>
      <c r="E1048407" s="11"/>
      <c r="F1048407" s="11"/>
      <c r="G1048407" s="11"/>
      <c r="K1048407" s="7"/>
      <c r="L1048407" s="8"/>
      <c r="M1048407" s="8"/>
      <c r="N1048407" s="8"/>
      <c r="O1048407"/>
      <c r="P1048407"/>
      <c r="Q1048407"/>
      <c r="R1048407"/>
      <c r="S1048407"/>
    </row>
  </sheetData>
  <autoFilter ref="A2:V27" xr:uid="{63321920-6B51-4EF3-828E-E82B8795E23E}"/>
  <mergeCells count="11">
    <mergeCell ref="O15:O16"/>
    <mergeCell ref="A1:U1"/>
    <mergeCell ref="O3:O5"/>
    <mergeCell ref="P3:P5"/>
    <mergeCell ref="Q3:Q5"/>
    <mergeCell ref="R3:R5"/>
    <mergeCell ref="S3:S5"/>
    <mergeCell ref="P15:P16"/>
    <mergeCell ref="Q15:Q16"/>
    <mergeCell ref="R15:R16"/>
    <mergeCell ref="S15:S16"/>
  </mergeCells>
  <pageMargins left="0.25" right="0.25" top="0.75" bottom="0.75" header="0.3" footer="0.3"/>
  <pageSetup paperSize="9"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E834-C520-4DAD-9586-BF5BBE72DF92}">
  <sheetPr>
    <tabColor rgb="FF92D050"/>
  </sheetPr>
  <dimension ref="A1:BU1048412"/>
  <sheetViews>
    <sheetView topLeftCell="A12" zoomScaleNormal="100" workbookViewId="0">
      <selection activeCell="C3" sqref="C3"/>
    </sheetView>
  </sheetViews>
  <sheetFormatPr defaultRowHeight="15"/>
  <cols>
    <col min="1" max="1" width="4.42578125" customWidth="1"/>
    <col min="2" max="2" width="13.140625" style="6" customWidth="1"/>
    <col min="3" max="3" width="29.28515625" customWidth="1"/>
    <col min="4" max="4" width="12.42578125" customWidth="1"/>
    <col min="5" max="5" width="8.42578125" customWidth="1"/>
    <col min="6" max="6" width="10.42578125" customWidth="1"/>
    <col min="7" max="7" width="12.42578125" customWidth="1"/>
    <col min="8" max="8" width="8.42578125" style="6" customWidth="1"/>
    <col min="9" max="9" width="10.42578125" style="6" bestFit="1" customWidth="1"/>
    <col min="10" max="10" width="10.42578125" style="6" customWidth="1"/>
    <col min="11" max="11" width="15.42578125" style="7" bestFit="1" customWidth="1"/>
    <col min="12" max="12" width="11.7109375" style="8" customWidth="1"/>
    <col min="13" max="13" width="21.42578125" style="8" customWidth="1"/>
    <col min="14" max="14" width="15" style="8" customWidth="1"/>
    <col min="15" max="15" width="14.5703125" customWidth="1"/>
    <col min="16" max="16" width="21.7109375" customWidth="1"/>
    <col min="17" max="17" width="12.42578125" customWidth="1"/>
    <col min="18" max="18" width="13.140625" customWidth="1"/>
    <col min="19" max="19" width="19.140625" customWidth="1"/>
    <col min="20" max="20" width="14" customWidth="1"/>
    <col min="21" max="21" width="9.140625" bestFit="1" customWidth="1"/>
  </cols>
  <sheetData>
    <row r="1" spans="1:22" ht="31.5" customHeight="1">
      <c r="A1" s="608" t="s">
        <v>79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87"/>
    </row>
    <row r="2" spans="1:22" ht="65.45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171" t="s">
        <v>12</v>
      </c>
      <c r="M2" s="170" t="s">
        <v>13</v>
      </c>
      <c r="N2" s="199" t="s">
        <v>14</v>
      </c>
      <c r="O2" s="3" t="s">
        <v>15</v>
      </c>
      <c r="P2" s="2" t="s">
        <v>16</v>
      </c>
      <c r="Q2" s="2" t="s">
        <v>17</v>
      </c>
      <c r="R2" s="2" t="s">
        <v>18</v>
      </c>
      <c r="S2" s="131" t="s">
        <v>19</v>
      </c>
      <c r="T2" s="3" t="s">
        <v>20</v>
      </c>
      <c r="U2" s="4" t="s">
        <v>17</v>
      </c>
      <c r="V2" s="4" t="s">
        <v>21</v>
      </c>
    </row>
    <row r="3" spans="1:22" ht="45">
      <c r="A3" s="70">
        <v>1</v>
      </c>
      <c r="B3" s="259">
        <v>92897698</v>
      </c>
      <c r="C3" s="248" t="s">
        <v>80</v>
      </c>
      <c r="D3" s="77" t="s">
        <v>23</v>
      </c>
      <c r="E3" s="78">
        <v>16.2</v>
      </c>
      <c r="F3" s="96">
        <v>17.225999999999999</v>
      </c>
      <c r="G3" s="73">
        <v>16.2</v>
      </c>
      <c r="H3" s="73">
        <v>18</v>
      </c>
      <c r="I3" s="73" t="s">
        <v>30</v>
      </c>
      <c r="J3" s="73" t="s">
        <v>33</v>
      </c>
      <c r="K3" s="82">
        <v>46055</v>
      </c>
      <c r="L3" s="82">
        <v>46056</v>
      </c>
      <c r="M3" s="82" t="s">
        <v>81</v>
      </c>
      <c r="N3" s="75" t="s">
        <v>64</v>
      </c>
      <c r="O3" s="249">
        <v>490</v>
      </c>
      <c r="P3" s="291" t="s">
        <v>82</v>
      </c>
      <c r="Q3" s="165">
        <v>1102.5</v>
      </c>
      <c r="R3" s="292">
        <f t="shared" ref="R3:R5" si="0">Q3/3.673</f>
        <v>300.1633542063708</v>
      </c>
      <c r="S3" s="132">
        <f t="shared" ref="S3:S5" si="1">(O3-R3)/O3</f>
        <v>0.38742172610944736</v>
      </c>
      <c r="T3" s="262" t="s">
        <v>66</v>
      </c>
      <c r="U3" s="263">
        <v>560.85</v>
      </c>
      <c r="V3" s="66"/>
    </row>
    <row r="4" spans="1:22" ht="45">
      <c r="A4" s="70">
        <v>2</v>
      </c>
      <c r="B4" s="272">
        <v>92898951</v>
      </c>
      <c r="C4" s="156" t="s">
        <v>45</v>
      </c>
      <c r="D4" s="164" t="s">
        <v>23</v>
      </c>
      <c r="E4" s="137">
        <v>19.8</v>
      </c>
      <c r="F4" s="138">
        <v>21.053999999999998</v>
      </c>
      <c r="G4" s="138">
        <v>19.8</v>
      </c>
      <c r="H4" s="138">
        <v>22</v>
      </c>
      <c r="I4" s="138" t="s">
        <v>30</v>
      </c>
      <c r="J4" s="138" t="s">
        <v>33</v>
      </c>
      <c r="K4" s="81">
        <v>46057</v>
      </c>
      <c r="L4" s="139">
        <v>46062</v>
      </c>
      <c r="M4" s="82" t="s">
        <v>39</v>
      </c>
      <c r="N4" s="82" t="s">
        <v>46</v>
      </c>
      <c r="O4" s="165">
        <v>2540</v>
      </c>
      <c r="P4" s="291" t="s">
        <v>83</v>
      </c>
      <c r="Q4" s="165">
        <v>6820</v>
      </c>
      <c r="R4" s="266">
        <f t="shared" si="0"/>
        <v>1856.7928124149196</v>
      </c>
      <c r="S4" s="132">
        <f t="shared" si="1"/>
        <v>0.26897920771066158</v>
      </c>
      <c r="T4" s="264" t="s">
        <v>84</v>
      </c>
      <c r="U4" s="84">
        <v>864.25</v>
      </c>
      <c r="V4" s="66"/>
    </row>
    <row r="5" spans="1:22" ht="45">
      <c r="A5" s="70">
        <v>3</v>
      </c>
      <c r="B5" s="275">
        <v>92898952</v>
      </c>
      <c r="C5" s="156" t="s">
        <v>45</v>
      </c>
      <c r="D5" s="164" t="s">
        <v>23</v>
      </c>
      <c r="E5" s="137">
        <v>19.8</v>
      </c>
      <c r="F5" s="138">
        <v>21.053999999999998</v>
      </c>
      <c r="G5" s="138">
        <v>19.8</v>
      </c>
      <c r="H5" s="138">
        <v>22</v>
      </c>
      <c r="I5" s="138" t="s">
        <v>30</v>
      </c>
      <c r="J5" s="138" t="s">
        <v>33</v>
      </c>
      <c r="K5" s="81">
        <v>46070</v>
      </c>
      <c r="L5" s="139">
        <v>46075</v>
      </c>
      <c r="M5" s="82" t="s">
        <v>39</v>
      </c>
      <c r="N5" s="82" t="s">
        <v>46</v>
      </c>
      <c r="O5" s="165">
        <v>2540</v>
      </c>
      <c r="P5" s="291" t="s">
        <v>85</v>
      </c>
      <c r="Q5" s="165">
        <v>6820</v>
      </c>
      <c r="R5" s="266">
        <f t="shared" si="0"/>
        <v>1856.7928124149196</v>
      </c>
      <c r="S5" s="132">
        <f t="shared" si="1"/>
        <v>0.26897920771066158</v>
      </c>
      <c r="T5" s="264" t="s">
        <v>86</v>
      </c>
      <c r="U5" s="84">
        <v>864.25</v>
      </c>
      <c r="V5" s="66"/>
    </row>
    <row r="6" spans="1:22" ht="45">
      <c r="A6" s="70">
        <v>4</v>
      </c>
      <c r="B6" s="201">
        <v>92902934</v>
      </c>
      <c r="C6" s="119" t="s">
        <v>31</v>
      </c>
      <c r="D6" s="77" t="s">
        <v>23</v>
      </c>
      <c r="E6" s="79">
        <v>22.4</v>
      </c>
      <c r="F6" s="85">
        <v>22.4</v>
      </c>
      <c r="G6" s="73">
        <v>22.48</v>
      </c>
      <c r="H6" s="71"/>
      <c r="I6" s="71" t="s">
        <v>32</v>
      </c>
      <c r="J6" s="73" t="s">
        <v>33</v>
      </c>
      <c r="K6" s="82">
        <v>46055</v>
      </c>
      <c r="L6" s="139">
        <v>46056</v>
      </c>
      <c r="M6" s="82" t="s">
        <v>81</v>
      </c>
      <c r="N6" s="136" t="s">
        <v>35</v>
      </c>
      <c r="O6" s="165">
        <v>420</v>
      </c>
      <c r="P6" s="268" t="s">
        <v>87</v>
      </c>
      <c r="Q6" s="165">
        <v>971.25</v>
      </c>
      <c r="R6" s="266">
        <f t="shared" ref="R6:R23" si="2">Q6/3.673</f>
        <v>264.42962156275524</v>
      </c>
      <c r="S6" s="133">
        <f t="shared" ref="S6:S23" si="3">(O6-R6)/O6</f>
        <v>0.37040566294582083</v>
      </c>
      <c r="T6" s="262" t="s">
        <v>66</v>
      </c>
      <c r="U6" s="263">
        <v>560.85</v>
      </c>
      <c r="V6" s="66"/>
    </row>
    <row r="7" spans="1:22" ht="45">
      <c r="A7" s="70">
        <v>5</v>
      </c>
      <c r="B7" s="201">
        <v>92902936</v>
      </c>
      <c r="C7" s="119" t="s">
        <v>31</v>
      </c>
      <c r="D7" s="77" t="s">
        <v>23</v>
      </c>
      <c r="E7" s="79">
        <v>22.4</v>
      </c>
      <c r="F7" s="85">
        <v>22.4</v>
      </c>
      <c r="G7" s="73">
        <v>22.42</v>
      </c>
      <c r="H7" s="71"/>
      <c r="I7" s="71" t="s">
        <v>32</v>
      </c>
      <c r="J7" s="73" t="s">
        <v>33</v>
      </c>
      <c r="K7" s="139">
        <v>46063</v>
      </c>
      <c r="L7" s="139">
        <v>46064</v>
      </c>
      <c r="M7" s="82" t="s">
        <v>81</v>
      </c>
      <c r="N7" s="136" t="s">
        <v>64</v>
      </c>
      <c r="O7" s="165">
        <v>420</v>
      </c>
      <c r="P7" s="291" t="s">
        <v>82</v>
      </c>
      <c r="Q7" s="165">
        <v>761.25</v>
      </c>
      <c r="R7" s="266">
        <f t="shared" si="2"/>
        <v>207.25564933297034</v>
      </c>
      <c r="S7" s="133">
        <f t="shared" si="3"/>
        <v>0.50653416825483255</v>
      </c>
      <c r="T7" s="262" t="s">
        <v>66</v>
      </c>
      <c r="U7" s="263">
        <v>560.85</v>
      </c>
      <c r="V7" s="66"/>
    </row>
    <row r="8" spans="1:22" ht="120">
      <c r="A8" s="70">
        <v>6</v>
      </c>
      <c r="B8" s="258">
        <v>92906103</v>
      </c>
      <c r="C8" s="156" t="s">
        <v>67</v>
      </c>
      <c r="D8" s="172" t="s">
        <v>23</v>
      </c>
      <c r="E8" s="157">
        <v>22.5</v>
      </c>
      <c r="F8" s="99">
        <v>22.5</v>
      </c>
      <c r="G8" s="99">
        <v>22.49</v>
      </c>
      <c r="H8" s="99"/>
      <c r="I8" s="99" t="s">
        <v>32</v>
      </c>
      <c r="J8" s="99" t="s">
        <v>33</v>
      </c>
      <c r="K8" s="81">
        <v>46058</v>
      </c>
      <c r="L8" s="139">
        <v>46065</v>
      </c>
      <c r="M8" s="82" t="s">
        <v>39</v>
      </c>
      <c r="N8" s="82" t="s">
        <v>35</v>
      </c>
      <c r="O8" s="165">
        <v>3380</v>
      </c>
      <c r="P8" s="268" t="s">
        <v>88</v>
      </c>
      <c r="Q8" s="165">
        <v>9635</v>
      </c>
      <c r="R8" s="266">
        <f t="shared" si="2"/>
        <v>2623.1962973046557</v>
      </c>
      <c r="S8" s="133">
        <f t="shared" si="3"/>
        <v>0.22390642091578233</v>
      </c>
      <c r="T8" s="264" t="s">
        <v>89</v>
      </c>
      <c r="U8" s="84">
        <v>684.25</v>
      </c>
      <c r="V8" s="84">
        <v>7272</v>
      </c>
    </row>
    <row r="9" spans="1:22" ht="30">
      <c r="A9" s="70">
        <v>7</v>
      </c>
      <c r="B9" s="99">
        <v>92906159</v>
      </c>
      <c r="C9" s="156" t="s">
        <v>90</v>
      </c>
      <c r="D9" s="172" t="s">
        <v>23</v>
      </c>
      <c r="E9" s="157">
        <v>16</v>
      </c>
      <c r="F9" s="99">
        <v>17.404</v>
      </c>
      <c r="G9" s="99">
        <v>16</v>
      </c>
      <c r="H9" s="99">
        <v>80</v>
      </c>
      <c r="I9" s="99" t="s">
        <v>24</v>
      </c>
      <c r="J9" s="169" t="s">
        <v>25</v>
      </c>
      <c r="K9" s="81">
        <v>46062</v>
      </c>
      <c r="L9" s="139">
        <v>46063</v>
      </c>
      <c r="M9" s="82" t="s">
        <v>27</v>
      </c>
      <c r="N9" s="82" t="s">
        <v>28</v>
      </c>
      <c r="O9" s="165">
        <v>2000</v>
      </c>
      <c r="P9" s="297" t="s">
        <v>91</v>
      </c>
      <c r="Q9" s="298">
        <v>3700</v>
      </c>
      <c r="R9" s="266">
        <f t="shared" si="2"/>
        <v>1007.3509392866866</v>
      </c>
      <c r="S9" s="155">
        <f t="shared" si="3"/>
        <v>0.49632453035665669</v>
      </c>
      <c r="T9" s="134"/>
      <c r="U9" s="66"/>
      <c r="V9" s="66"/>
    </row>
    <row r="10" spans="1:22" ht="51.75" customHeight="1">
      <c r="A10" s="70">
        <v>8</v>
      </c>
      <c r="B10" s="258">
        <v>92911318</v>
      </c>
      <c r="C10" s="74" t="s">
        <v>31</v>
      </c>
      <c r="D10" s="251" t="s">
        <v>23</v>
      </c>
      <c r="E10" s="78">
        <v>16.2</v>
      </c>
      <c r="F10" s="96">
        <v>17.225999999999999</v>
      </c>
      <c r="G10" s="73">
        <v>16.2</v>
      </c>
      <c r="H10" s="73">
        <v>18</v>
      </c>
      <c r="I10" s="73" t="s">
        <v>30</v>
      </c>
      <c r="J10" s="71" t="s">
        <v>33</v>
      </c>
      <c r="K10" s="252">
        <v>46057</v>
      </c>
      <c r="L10" s="139" t="s">
        <v>52</v>
      </c>
      <c r="M10" s="82" t="s">
        <v>81</v>
      </c>
      <c r="N10" s="253" t="s">
        <v>64</v>
      </c>
      <c r="O10" s="254">
        <v>350</v>
      </c>
      <c r="P10" s="291" t="s">
        <v>82</v>
      </c>
      <c r="Q10" s="165">
        <v>1102.5</v>
      </c>
      <c r="R10" s="292">
        <f t="shared" si="2"/>
        <v>300.1633542063708</v>
      </c>
      <c r="S10" s="133">
        <f t="shared" si="3"/>
        <v>0.14239041655322629</v>
      </c>
      <c r="T10" s="262" t="s">
        <v>66</v>
      </c>
      <c r="U10" s="263">
        <v>560.85</v>
      </c>
      <c r="V10" s="66"/>
    </row>
    <row r="11" spans="1:22" ht="45">
      <c r="A11" s="70">
        <v>9</v>
      </c>
      <c r="B11" s="258">
        <v>92914927</v>
      </c>
      <c r="C11" s="156" t="s">
        <v>58</v>
      </c>
      <c r="D11" s="164" t="s">
        <v>23</v>
      </c>
      <c r="E11" s="137">
        <v>22.4</v>
      </c>
      <c r="F11" s="138">
        <v>22.4</v>
      </c>
      <c r="G11" s="138">
        <v>22.45</v>
      </c>
      <c r="H11" s="138"/>
      <c r="I11" s="138" t="s">
        <v>32</v>
      </c>
      <c r="J11" s="138" t="s">
        <v>33</v>
      </c>
      <c r="K11" s="81">
        <v>46059</v>
      </c>
      <c r="L11" s="139">
        <v>46061</v>
      </c>
      <c r="M11" s="82" t="s">
        <v>39</v>
      </c>
      <c r="N11" s="260" t="s">
        <v>35</v>
      </c>
      <c r="O11" s="165">
        <v>1500</v>
      </c>
      <c r="P11" s="270" t="s">
        <v>92</v>
      </c>
      <c r="Q11" s="271">
        <v>3700</v>
      </c>
      <c r="R11" s="274">
        <f t="shared" si="2"/>
        <v>1007.3509392866866</v>
      </c>
      <c r="S11" s="133">
        <f>(O11-R11)/O11</f>
        <v>0.3284327071422089</v>
      </c>
      <c r="T11" s="264" t="s">
        <v>93</v>
      </c>
      <c r="U11" s="84">
        <v>794.25</v>
      </c>
      <c r="V11" s="66"/>
    </row>
    <row r="12" spans="1:22" ht="30">
      <c r="A12" s="70">
        <v>10</v>
      </c>
      <c r="B12" s="258">
        <v>92917040</v>
      </c>
      <c r="C12" s="119" t="s">
        <v>31</v>
      </c>
      <c r="D12" s="77" t="s">
        <v>23</v>
      </c>
      <c r="E12" s="79">
        <v>22.4</v>
      </c>
      <c r="F12" s="85">
        <v>22.4</v>
      </c>
      <c r="G12" s="73">
        <v>22.38</v>
      </c>
      <c r="H12" s="71"/>
      <c r="I12" s="71" t="s">
        <v>32</v>
      </c>
      <c r="J12" s="73" t="s">
        <v>33</v>
      </c>
      <c r="K12" s="81">
        <v>46070</v>
      </c>
      <c r="L12" s="139">
        <v>46070</v>
      </c>
      <c r="M12" s="82" t="s">
        <v>63</v>
      </c>
      <c r="N12" s="136" t="s">
        <v>35</v>
      </c>
      <c r="O12" s="165">
        <v>420</v>
      </c>
      <c r="P12" s="268" t="s">
        <v>87</v>
      </c>
      <c r="Q12" s="165">
        <v>971.25</v>
      </c>
      <c r="R12" s="266">
        <f t="shared" si="2"/>
        <v>264.42962156275524</v>
      </c>
      <c r="S12" s="181">
        <f t="shared" si="3"/>
        <v>0.37040566294582083</v>
      </c>
      <c r="T12" s="264" t="s">
        <v>94</v>
      </c>
      <c r="U12" s="84">
        <v>560.85</v>
      </c>
      <c r="V12" s="66"/>
    </row>
    <row r="13" spans="1:22">
      <c r="A13" s="70">
        <v>11</v>
      </c>
      <c r="B13" s="163">
        <v>92917195</v>
      </c>
      <c r="C13" s="74" t="s">
        <v>54</v>
      </c>
      <c r="D13" s="172" t="s">
        <v>23</v>
      </c>
      <c r="E13" s="78">
        <v>16.2</v>
      </c>
      <c r="F13" s="96">
        <v>17.225999999999999</v>
      </c>
      <c r="G13" s="73">
        <v>16.2</v>
      </c>
      <c r="H13" s="73">
        <v>18</v>
      </c>
      <c r="I13" s="73" t="s">
        <v>30</v>
      </c>
      <c r="J13" s="138" t="s">
        <v>33</v>
      </c>
      <c r="K13" s="139">
        <v>46063</v>
      </c>
      <c r="L13" s="139">
        <v>46063</v>
      </c>
      <c r="M13" s="82" t="s">
        <v>55</v>
      </c>
      <c r="N13" s="136" t="s">
        <v>56</v>
      </c>
      <c r="O13" s="140">
        <v>0</v>
      </c>
      <c r="P13" s="268" t="s">
        <v>57</v>
      </c>
      <c r="Q13" s="165">
        <v>0</v>
      </c>
      <c r="R13" s="266">
        <v>0</v>
      </c>
      <c r="S13" s="250" t="s">
        <v>57</v>
      </c>
      <c r="T13" s="65"/>
      <c r="U13" s="66"/>
      <c r="V13" s="66"/>
    </row>
    <row r="14" spans="1:22" ht="120">
      <c r="A14" s="70">
        <v>12</v>
      </c>
      <c r="B14" s="258">
        <v>92923809</v>
      </c>
      <c r="C14" s="156" t="s">
        <v>67</v>
      </c>
      <c r="D14" s="244" t="s">
        <v>23</v>
      </c>
      <c r="E14" s="157">
        <v>22.5</v>
      </c>
      <c r="F14" s="99">
        <v>22.5</v>
      </c>
      <c r="G14" s="99">
        <v>22.52</v>
      </c>
      <c r="H14" s="99"/>
      <c r="I14" s="99" t="s">
        <v>32</v>
      </c>
      <c r="J14" s="99" t="s">
        <v>33</v>
      </c>
      <c r="K14" s="82">
        <v>46064</v>
      </c>
      <c r="L14" s="82">
        <v>46071</v>
      </c>
      <c r="M14" s="82" t="s">
        <v>39</v>
      </c>
      <c r="N14" s="82" t="s">
        <v>40</v>
      </c>
      <c r="O14" s="165">
        <v>3380</v>
      </c>
      <c r="P14" s="268" t="s">
        <v>95</v>
      </c>
      <c r="Q14" s="269">
        <v>8935</v>
      </c>
      <c r="R14" s="266">
        <f t="shared" si="2"/>
        <v>2432.6163898720392</v>
      </c>
      <c r="S14" s="132">
        <f t="shared" si="3"/>
        <v>0.28029100891359787</v>
      </c>
      <c r="T14" s="80" t="s">
        <v>96</v>
      </c>
      <c r="U14" s="84">
        <v>684.25</v>
      </c>
      <c r="V14" s="84">
        <v>7189</v>
      </c>
    </row>
    <row r="15" spans="1:22">
      <c r="A15" s="70">
        <v>13</v>
      </c>
      <c r="B15" s="163">
        <v>92925911</v>
      </c>
      <c r="C15" s="156" t="s">
        <v>97</v>
      </c>
      <c r="D15" s="244" t="s">
        <v>23</v>
      </c>
      <c r="E15" s="157">
        <v>16</v>
      </c>
      <c r="F15" s="265">
        <v>17.404</v>
      </c>
      <c r="G15" s="99">
        <v>16</v>
      </c>
      <c r="H15" s="99">
        <v>80</v>
      </c>
      <c r="I15" s="99" t="s">
        <v>24</v>
      </c>
      <c r="J15" s="169" t="s">
        <v>25</v>
      </c>
      <c r="K15" s="81">
        <v>46073</v>
      </c>
      <c r="L15" s="82" t="s">
        <v>52</v>
      </c>
      <c r="M15" s="82" t="s">
        <v>27</v>
      </c>
      <c r="N15" s="82" t="s">
        <v>98</v>
      </c>
      <c r="O15" s="606">
        <v>4000</v>
      </c>
      <c r="P15" s="623"/>
      <c r="Q15" s="621">
        <v>5830</v>
      </c>
      <c r="R15" s="621">
        <f t="shared" si="2"/>
        <v>1587.2583719030765</v>
      </c>
      <c r="S15" s="617">
        <f t="shared" si="3"/>
        <v>0.60318540702423096</v>
      </c>
      <c r="T15" s="65"/>
      <c r="U15" s="66"/>
      <c r="V15" s="66"/>
    </row>
    <row r="16" spans="1:22">
      <c r="A16" s="70">
        <v>14</v>
      </c>
      <c r="B16" s="168">
        <v>92925913</v>
      </c>
      <c r="C16" s="156" t="s">
        <v>97</v>
      </c>
      <c r="D16" s="244" t="s">
        <v>23</v>
      </c>
      <c r="E16" s="157">
        <v>16</v>
      </c>
      <c r="F16" s="265">
        <v>17.404</v>
      </c>
      <c r="G16" s="99">
        <v>16</v>
      </c>
      <c r="H16" s="99">
        <v>80</v>
      </c>
      <c r="I16" s="99" t="s">
        <v>24</v>
      </c>
      <c r="J16" s="169" t="s">
        <v>25</v>
      </c>
      <c r="K16" s="81">
        <v>46073</v>
      </c>
      <c r="L16" s="82" t="s">
        <v>52</v>
      </c>
      <c r="M16" s="82" t="s">
        <v>27</v>
      </c>
      <c r="N16" s="82" t="s">
        <v>98</v>
      </c>
      <c r="O16" s="607"/>
      <c r="P16" s="624"/>
      <c r="Q16" s="622"/>
      <c r="R16" s="622"/>
      <c r="S16" s="619"/>
      <c r="T16" s="65"/>
      <c r="U16" s="66"/>
      <c r="V16" s="66"/>
    </row>
    <row r="17" spans="1:73" ht="30">
      <c r="A17" s="70">
        <v>15</v>
      </c>
      <c r="B17" s="272">
        <v>92927692</v>
      </c>
      <c r="C17" s="248" t="s">
        <v>80</v>
      </c>
      <c r="D17" s="77" t="s">
        <v>23</v>
      </c>
      <c r="E17" s="78">
        <v>16.2</v>
      </c>
      <c r="F17" s="96">
        <v>17.225999999999999</v>
      </c>
      <c r="G17" s="73">
        <v>16.2</v>
      </c>
      <c r="H17" s="73">
        <v>18</v>
      </c>
      <c r="I17" s="73" t="s">
        <v>30</v>
      </c>
      <c r="J17" s="73" t="s">
        <v>33</v>
      </c>
      <c r="K17" s="82">
        <v>46070</v>
      </c>
      <c r="L17" s="82">
        <v>46071</v>
      </c>
      <c r="M17" s="82" t="s">
        <v>63</v>
      </c>
      <c r="N17" s="136" t="s">
        <v>64</v>
      </c>
      <c r="O17" s="249">
        <v>490</v>
      </c>
      <c r="P17" s="291" t="s">
        <v>82</v>
      </c>
      <c r="Q17" s="165">
        <v>1102.5</v>
      </c>
      <c r="R17" s="292">
        <f t="shared" ref="R17" si="4">Q17/3.673</f>
        <v>300.1633542063708</v>
      </c>
      <c r="S17" s="132">
        <f t="shared" si="3"/>
        <v>0.38742172610944736</v>
      </c>
      <c r="T17" s="264" t="s">
        <v>94</v>
      </c>
      <c r="U17" s="84">
        <v>560.85</v>
      </c>
      <c r="V17" s="66"/>
    </row>
    <row r="18" spans="1:73" ht="45">
      <c r="A18" s="70">
        <v>16</v>
      </c>
      <c r="B18" s="259">
        <v>92929316</v>
      </c>
      <c r="C18" s="156" t="s">
        <v>38</v>
      </c>
      <c r="D18" s="172" t="s">
        <v>23</v>
      </c>
      <c r="E18" s="157">
        <v>22.4</v>
      </c>
      <c r="F18" s="99">
        <v>22.4</v>
      </c>
      <c r="G18" s="99">
        <v>22.4</v>
      </c>
      <c r="H18" s="99"/>
      <c r="I18" s="99" t="s">
        <v>32</v>
      </c>
      <c r="J18" s="99" t="s">
        <v>33</v>
      </c>
      <c r="K18" s="81">
        <v>46071</v>
      </c>
      <c r="L18" s="139">
        <v>46076</v>
      </c>
      <c r="M18" s="82" t="s">
        <v>39</v>
      </c>
      <c r="N18" s="82" t="s">
        <v>35</v>
      </c>
      <c r="O18" s="165">
        <v>3000</v>
      </c>
      <c r="P18" s="291" t="s">
        <v>99</v>
      </c>
      <c r="Q18" s="165">
        <v>9635</v>
      </c>
      <c r="R18" s="292">
        <f t="shared" si="2"/>
        <v>2623.1962973046557</v>
      </c>
      <c r="S18" s="132">
        <f t="shared" si="3"/>
        <v>0.12560123423178143</v>
      </c>
      <c r="T18" s="262" t="s">
        <v>100</v>
      </c>
      <c r="U18" s="263">
        <v>864.25</v>
      </c>
      <c r="V18" s="69"/>
    </row>
    <row r="19" spans="1:73" s="83" customFormat="1" ht="30">
      <c r="A19" s="70">
        <v>17</v>
      </c>
      <c r="B19" s="272">
        <v>92934389</v>
      </c>
      <c r="C19" s="248" t="s">
        <v>80</v>
      </c>
      <c r="D19" s="77" t="s">
        <v>23</v>
      </c>
      <c r="E19" s="78">
        <v>16.2</v>
      </c>
      <c r="F19" s="96">
        <v>17.225999999999999</v>
      </c>
      <c r="G19" s="73">
        <v>16.2</v>
      </c>
      <c r="H19" s="73">
        <v>18</v>
      </c>
      <c r="I19" s="73" t="s">
        <v>30</v>
      </c>
      <c r="J19" s="73" t="s">
        <v>33</v>
      </c>
      <c r="K19" s="82">
        <v>46076</v>
      </c>
      <c r="L19" s="82">
        <v>46077</v>
      </c>
      <c r="M19" s="82" t="s">
        <v>63</v>
      </c>
      <c r="N19" s="136" t="s">
        <v>64</v>
      </c>
      <c r="O19" s="249">
        <v>490</v>
      </c>
      <c r="P19" s="291" t="s">
        <v>82</v>
      </c>
      <c r="Q19" s="165">
        <v>1102.5</v>
      </c>
      <c r="R19" s="292">
        <f t="shared" si="2"/>
        <v>300.1633542063708</v>
      </c>
      <c r="S19" s="132">
        <f t="shared" si="3"/>
        <v>0.38742172610944736</v>
      </c>
      <c r="T19" s="264" t="s">
        <v>94</v>
      </c>
      <c r="U19" s="84">
        <v>560.85</v>
      </c>
      <c r="V19" s="66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 s="101"/>
    </row>
    <row r="20" spans="1:73" ht="30">
      <c r="A20" s="70">
        <v>18</v>
      </c>
      <c r="B20" s="275">
        <v>92934443</v>
      </c>
      <c r="C20" s="119" t="s">
        <v>31</v>
      </c>
      <c r="D20" s="77" t="s">
        <v>23</v>
      </c>
      <c r="E20" s="79">
        <v>22.4</v>
      </c>
      <c r="F20" s="85">
        <v>22.4</v>
      </c>
      <c r="G20" s="73">
        <v>22.36</v>
      </c>
      <c r="H20" s="71"/>
      <c r="I20" s="71" t="s">
        <v>32</v>
      </c>
      <c r="J20" s="73" t="s">
        <v>33</v>
      </c>
      <c r="K20" s="81">
        <v>46077</v>
      </c>
      <c r="L20" s="139">
        <v>46078</v>
      </c>
      <c r="M20" s="82" t="s">
        <v>63</v>
      </c>
      <c r="N20" s="136" t="s">
        <v>64</v>
      </c>
      <c r="O20" s="165">
        <v>420</v>
      </c>
      <c r="P20" s="291" t="s">
        <v>82</v>
      </c>
      <c r="Q20" s="165">
        <v>761.25</v>
      </c>
      <c r="R20" s="266">
        <f t="shared" si="2"/>
        <v>207.25564933297034</v>
      </c>
      <c r="S20" s="132">
        <f t="shared" si="3"/>
        <v>0.50653416825483255</v>
      </c>
      <c r="T20" s="264" t="s">
        <v>94</v>
      </c>
      <c r="U20" s="84">
        <v>560.85</v>
      </c>
      <c r="V20" s="66"/>
    </row>
    <row r="21" spans="1:73" ht="45">
      <c r="A21" s="70">
        <v>19</v>
      </c>
      <c r="B21" s="261">
        <v>92936020</v>
      </c>
      <c r="C21" s="156" t="s">
        <v>58</v>
      </c>
      <c r="D21" s="164" t="s">
        <v>23</v>
      </c>
      <c r="E21" s="137">
        <v>22.4</v>
      </c>
      <c r="F21" s="138">
        <v>22.4</v>
      </c>
      <c r="G21" s="138">
        <v>22.34</v>
      </c>
      <c r="H21" s="138"/>
      <c r="I21" s="138" t="s">
        <v>32</v>
      </c>
      <c r="J21" s="138" t="s">
        <v>33</v>
      </c>
      <c r="K21" s="81">
        <v>46077</v>
      </c>
      <c r="L21" s="139">
        <v>46078</v>
      </c>
      <c r="M21" s="82" t="s">
        <v>39</v>
      </c>
      <c r="N21" s="260" t="s">
        <v>35</v>
      </c>
      <c r="O21" s="165">
        <v>1500</v>
      </c>
      <c r="P21" s="291" t="s">
        <v>101</v>
      </c>
      <c r="Q21" s="165">
        <v>3700</v>
      </c>
      <c r="R21" s="266">
        <f t="shared" si="2"/>
        <v>1007.3509392866866</v>
      </c>
      <c r="S21" s="132">
        <f t="shared" si="3"/>
        <v>0.3284327071422089</v>
      </c>
      <c r="T21" s="80" t="s">
        <v>102</v>
      </c>
      <c r="U21" s="84">
        <v>794.25</v>
      </c>
      <c r="V21" s="66"/>
    </row>
    <row r="22" spans="1:73" ht="45">
      <c r="A22" s="70">
        <v>20</v>
      </c>
      <c r="B22" s="272">
        <v>92936034</v>
      </c>
      <c r="C22" s="156" t="s">
        <v>45</v>
      </c>
      <c r="D22" s="164" t="s">
        <v>23</v>
      </c>
      <c r="E22" s="137">
        <v>19.8</v>
      </c>
      <c r="F22" s="138">
        <v>21.053999999999998</v>
      </c>
      <c r="G22" s="138">
        <v>19.8</v>
      </c>
      <c r="H22" s="138">
        <v>22</v>
      </c>
      <c r="I22" s="138" t="s">
        <v>30</v>
      </c>
      <c r="J22" s="138" t="s">
        <v>33</v>
      </c>
      <c r="K22" s="81">
        <v>46076</v>
      </c>
      <c r="L22" s="139">
        <v>46082</v>
      </c>
      <c r="M22" s="82" t="s">
        <v>39</v>
      </c>
      <c r="N22" s="136" t="s">
        <v>46</v>
      </c>
      <c r="O22" s="165">
        <v>2540</v>
      </c>
      <c r="P22" s="291" t="s">
        <v>103</v>
      </c>
      <c r="Q22" s="165">
        <v>6820</v>
      </c>
      <c r="R22" s="266">
        <f t="shared" si="2"/>
        <v>1856.7928124149196</v>
      </c>
      <c r="S22" s="132">
        <f t="shared" si="3"/>
        <v>0.26897920771066158</v>
      </c>
      <c r="T22" s="80" t="s">
        <v>104</v>
      </c>
      <c r="U22" s="84">
        <v>864.25</v>
      </c>
      <c r="V22" s="66"/>
    </row>
    <row r="23" spans="1:73" ht="45">
      <c r="A23" s="70">
        <v>21</v>
      </c>
      <c r="B23" s="261">
        <v>92937598</v>
      </c>
      <c r="C23" s="156" t="s">
        <v>38</v>
      </c>
      <c r="D23" s="172" t="s">
        <v>23</v>
      </c>
      <c r="E23" s="157">
        <v>22.4</v>
      </c>
      <c r="F23" s="99">
        <v>22.4</v>
      </c>
      <c r="G23" s="99">
        <v>22.38</v>
      </c>
      <c r="H23" s="99"/>
      <c r="I23" s="99" t="s">
        <v>32</v>
      </c>
      <c r="J23" s="99" t="s">
        <v>33</v>
      </c>
      <c r="K23" s="82">
        <v>46078</v>
      </c>
      <c r="L23" s="97">
        <v>46082</v>
      </c>
      <c r="M23" s="82" t="s">
        <v>39</v>
      </c>
      <c r="N23" s="260" t="s">
        <v>40</v>
      </c>
      <c r="O23" s="165">
        <v>3000</v>
      </c>
      <c r="P23" s="268" t="s">
        <v>105</v>
      </c>
      <c r="Q23" s="165">
        <v>9135</v>
      </c>
      <c r="R23" s="292">
        <f t="shared" si="2"/>
        <v>2487.0677919956438</v>
      </c>
      <c r="S23" s="133">
        <f t="shared" si="3"/>
        <v>0.17097740266811873</v>
      </c>
      <c r="T23" s="80" t="s">
        <v>106</v>
      </c>
      <c r="U23" s="84">
        <v>864.25</v>
      </c>
      <c r="V23" s="66"/>
    </row>
    <row r="24" spans="1:73" s="31" customFormat="1" ht="15.75">
      <c r="A24" s="141">
        <f>COUNT(A3:A23)</f>
        <v>21</v>
      </c>
      <c r="B24" s="22"/>
      <c r="E24" s="142">
        <f>SUM(E3:E23)</f>
        <v>412.59999999999985</v>
      </c>
      <c r="G24" s="143">
        <f>SUM(G3:G23)</f>
        <v>412.61999999999989</v>
      </c>
      <c r="H24" s="22"/>
      <c r="I24" s="22"/>
      <c r="J24" s="22"/>
      <c r="K24" s="144"/>
      <c r="L24" s="145"/>
      <c r="M24" s="145"/>
      <c r="N24" s="94"/>
      <c r="P24" s="146"/>
      <c r="Q24" s="147">
        <f>SUM(Q3:Q23)</f>
        <v>82605</v>
      </c>
      <c r="R24" s="145"/>
    </row>
    <row r="25" spans="1:73">
      <c r="A25" s="6" t="s">
        <v>70</v>
      </c>
      <c r="C25" s="6"/>
      <c r="D25" s="7"/>
      <c r="E25" s="8"/>
      <c r="F25" s="8"/>
      <c r="G25" s="8"/>
      <c r="H25"/>
      <c r="I25"/>
      <c r="J25"/>
      <c r="K25"/>
      <c r="M25"/>
    </row>
    <row r="26" spans="1:73">
      <c r="A26" s="6"/>
      <c r="B26" s="178"/>
      <c r="C26" s="6" t="s">
        <v>71</v>
      </c>
      <c r="D26" s="7"/>
      <c r="E26" s="8"/>
      <c r="F26" s="8"/>
      <c r="G26" s="8"/>
      <c r="H26"/>
      <c r="I26"/>
      <c r="J26"/>
      <c r="K26"/>
      <c r="L26"/>
      <c r="M26"/>
      <c r="N26"/>
    </row>
    <row r="27" spans="1:73">
      <c r="A27" s="6"/>
      <c r="C27" s="6"/>
      <c r="D27" s="7"/>
      <c r="E27" s="8"/>
      <c r="F27" s="9" t="s">
        <v>72</v>
      </c>
      <c r="G27" s="8"/>
      <c r="H27"/>
      <c r="I27"/>
      <c r="J27"/>
      <c r="K27"/>
      <c r="L27"/>
      <c r="M27"/>
      <c r="N27"/>
    </row>
    <row r="28" spans="1:73">
      <c r="A28" s="7"/>
      <c r="B28" s="8"/>
      <c r="C28" s="8"/>
      <c r="D28" s="8"/>
      <c r="F28" t="s">
        <v>73</v>
      </c>
      <c r="H28"/>
      <c r="I28"/>
      <c r="J28"/>
      <c r="K28"/>
      <c r="L28"/>
      <c r="M28"/>
      <c r="N28"/>
    </row>
    <row r="29" spans="1:73">
      <c r="A29" s="7"/>
      <c r="B29" s="8"/>
      <c r="C29" s="8"/>
      <c r="D29" s="8"/>
      <c r="F29" t="s">
        <v>74</v>
      </c>
      <c r="H29"/>
      <c r="I29"/>
      <c r="J29"/>
      <c r="K29"/>
      <c r="L29"/>
      <c r="M29"/>
      <c r="N29"/>
    </row>
    <row r="30" spans="1:73">
      <c r="A30" s="7"/>
      <c r="B30" s="8"/>
      <c r="C30" s="8"/>
      <c r="D30" s="8"/>
      <c r="F30" t="s">
        <v>75</v>
      </c>
      <c r="H30"/>
      <c r="I30"/>
      <c r="J30"/>
      <c r="K30"/>
      <c r="L30"/>
      <c r="M30"/>
      <c r="N30"/>
    </row>
    <row r="31" spans="1:73">
      <c r="F31" t="s">
        <v>76</v>
      </c>
      <c r="N31"/>
    </row>
    <row r="32" spans="1:73" ht="14.1" customHeight="1">
      <c r="A32" s="10" t="s">
        <v>77</v>
      </c>
      <c r="B32" s="10"/>
      <c r="C32" s="10"/>
      <c r="F32" t="s">
        <v>78</v>
      </c>
    </row>
    <row r="34" spans="1:16">
      <c r="A34" s="6"/>
      <c r="B34"/>
    </row>
    <row r="35" spans="1:16">
      <c r="B35" s="7"/>
    </row>
    <row r="36" spans="1:16">
      <c r="B36" s="7"/>
    </row>
    <row r="37" spans="1:16">
      <c r="B37" s="182"/>
      <c r="C37" s="183"/>
      <c r="D37" s="184"/>
      <c r="E37" s="185"/>
      <c r="F37" s="186"/>
      <c r="G37" s="182"/>
      <c r="H37" s="182"/>
      <c r="I37" s="182"/>
      <c r="J37" s="182"/>
      <c r="K37" s="187"/>
      <c r="L37" s="188"/>
      <c r="M37" s="188"/>
      <c r="N37" s="188"/>
      <c r="O37" s="189"/>
      <c r="P37" s="188"/>
    </row>
    <row r="1048412" spans="3:19" s="6" customFormat="1">
      <c r="C1048412"/>
      <c r="D1048412" s="11"/>
      <c r="E1048412" s="11"/>
      <c r="F1048412" s="11"/>
      <c r="G1048412" s="11"/>
      <c r="K1048412" s="7"/>
      <c r="L1048412" s="8"/>
      <c r="M1048412" s="8"/>
      <c r="N1048412" s="8"/>
      <c r="O1048412"/>
      <c r="P1048412"/>
      <c r="Q1048412"/>
      <c r="R1048412"/>
      <c r="S1048412"/>
    </row>
  </sheetData>
  <autoFilter ref="A2:V32" xr:uid="{63321920-6B51-4EF3-828E-E82B8795E23E}"/>
  <mergeCells count="6">
    <mergeCell ref="A1:U1"/>
    <mergeCell ref="O15:O16"/>
    <mergeCell ref="S15:S16"/>
    <mergeCell ref="R15:R16"/>
    <mergeCell ref="Q15:Q16"/>
    <mergeCell ref="P15:P16"/>
  </mergeCells>
  <pageMargins left="0.7" right="0.7" top="0.75" bottom="0.75" header="0.3" footer="0.3"/>
  <pageSetup paperSize="9" scale="45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0BF2-B559-453C-ABA7-A0EE84D5949D}">
  <sheetPr>
    <tabColor rgb="FF92D050"/>
    <pageSetUpPr fitToPage="1"/>
  </sheetPr>
  <dimension ref="A1:V1048404"/>
  <sheetViews>
    <sheetView topLeftCell="A9" zoomScaleNormal="100" workbookViewId="0">
      <selection activeCell="M9" sqref="M9"/>
    </sheetView>
  </sheetViews>
  <sheetFormatPr defaultRowHeight="15"/>
  <cols>
    <col min="1" max="1" width="4.42578125" customWidth="1"/>
    <col min="2" max="2" width="13.140625" style="6" customWidth="1"/>
    <col min="3" max="3" width="29.28515625" customWidth="1"/>
    <col min="4" max="4" width="12.42578125" customWidth="1"/>
    <col min="5" max="5" width="8.42578125" customWidth="1"/>
    <col min="6" max="6" width="10.42578125" customWidth="1"/>
    <col min="7" max="7" width="12.42578125" customWidth="1"/>
    <col min="8" max="8" width="8.42578125" style="6" customWidth="1"/>
    <col min="9" max="9" width="10.42578125" style="6" bestFit="1" customWidth="1"/>
    <col min="10" max="10" width="10.42578125" style="6" customWidth="1"/>
    <col min="11" max="11" width="15.42578125" style="7" bestFit="1" customWidth="1"/>
    <col min="12" max="12" width="11.7109375" style="8" customWidth="1"/>
    <col min="13" max="13" width="21.42578125" style="8" customWidth="1"/>
    <col min="14" max="14" width="15" style="8" customWidth="1"/>
    <col min="15" max="15" width="14.5703125" customWidth="1"/>
    <col min="16" max="16" width="21.7109375" customWidth="1"/>
    <col min="17" max="17" width="12.42578125" customWidth="1"/>
    <col min="18" max="18" width="13.140625" customWidth="1"/>
    <col min="19" max="19" width="19.140625" customWidth="1"/>
    <col min="20" max="20" width="14" customWidth="1"/>
    <col min="21" max="21" width="9.140625" bestFit="1" customWidth="1"/>
  </cols>
  <sheetData>
    <row r="1" spans="1:22" ht="31.5" customHeight="1">
      <c r="A1" s="608" t="s">
        <v>107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87"/>
    </row>
    <row r="2" spans="1:22" ht="65.45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171" t="s">
        <v>12</v>
      </c>
      <c r="M2" s="170" t="s">
        <v>13</v>
      </c>
      <c r="N2" s="199" t="s">
        <v>14</v>
      </c>
      <c r="O2" s="3" t="s">
        <v>15</v>
      </c>
      <c r="P2" s="2" t="s">
        <v>16</v>
      </c>
      <c r="Q2" s="2" t="s">
        <v>17</v>
      </c>
      <c r="R2" s="2" t="s">
        <v>18</v>
      </c>
      <c r="S2" s="131" t="s">
        <v>19</v>
      </c>
      <c r="T2" s="3" t="s">
        <v>20</v>
      </c>
      <c r="U2" s="4" t="s">
        <v>17</v>
      </c>
      <c r="V2" s="4" t="s">
        <v>21</v>
      </c>
    </row>
    <row r="3" spans="1:22" ht="45">
      <c r="A3" s="70">
        <v>1</v>
      </c>
      <c r="B3" s="275">
        <v>92934444</v>
      </c>
      <c r="C3" s="119" t="s">
        <v>31</v>
      </c>
      <c r="D3" s="77" t="s">
        <v>23</v>
      </c>
      <c r="E3" s="79">
        <v>22.4</v>
      </c>
      <c r="F3" s="85">
        <v>22.4</v>
      </c>
      <c r="G3" s="73">
        <v>22.38</v>
      </c>
      <c r="H3" s="71"/>
      <c r="I3" s="71" t="s">
        <v>32</v>
      </c>
      <c r="J3" s="73" t="s">
        <v>33</v>
      </c>
      <c r="K3" s="81">
        <v>46090</v>
      </c>
      <c r="L3" s="139">
        <v>46090</v>
      </c>
      <c r="M3" s="82" t="s">
        <v>108</v>
      </c>
      <c r="N3" s="136" t="s">
        <v>35</v>
      </c>
      <c r="O3" s="165">
        <v>420</v>
      </c>
      <c r="P3" s="291" t="s">
        <v>109</v>
      </c>
      <c r="Q3" s="165">
        <v>971.25</v>
      </c>
      <c r="R3" s="292">
        <f t="shared" ref="R3:R14" si="0">Q3/3.673</f>
        <v>264.42962156275524</v>
      </c>
      <c r="S3" s="132">
        <f t="shared" ref="S3:S14" si="1">(O3-R3)/O3</f>
        <v>0.37040566294582083</v>
      </c>
      <c r="T3" s="277" t="s">
        <v>94</v>
      </c>
      <c r="U3" s="84">
        <v>560.85</v>
      </c>
      <c r="V3" s="66"/>
    </row>
    <row r="4" spans="1:22" ht="45">
      <c r="A4" s="70">
        <v>2</v>
      </c>
      <c r="B4" s="272">
        <v>92936035</v>
      </c>
      <c r="C4" s="156" t="s">
        <v>45</v>
      </c>
      <c r="D4" s="164" t="s">
        <v>23</v>
      </c>
      <c r="E4" s="137">
        <v>19.8</v>
      </c>
      <c r="F4" s="138">
        <v>21.053999999999998</v>
      </c>
      <c r="G4" s="138">
        <v>19.8</v>
      </c>
      <c r="H4" s="138">
        <v>22</v>
      </c>
      <c r="I4" s="138" t="s">
        <v>30</v>
      </c>
      <c r="J4" s="138" t="s">
        <v>33</v>
      </c>
      <c r="K4" s="81">
        <v>46087</v>
      </c>
      <c r="L4" s="139">
        <v>46096</v>
      </c>
      <c r="M4" s="82" t="s">
        <v>39</v>
      </c>
      <c r="N4" s="136" t="s">
        <v>46</v>
      </c>
      <c r="O4" s="165">
        <v>2540</v>
      </c>
      <c r="P4" s="291" t="s">
        <v>110</v>
      </c>
      <c r="Q4" s="165">
        <v>6820</v>
      </c>
      <c r="R4" s="266">
        <f t="shared" si="0"/>
        <v>1856.7928124149196</v>
      </c>
      <c r="S4" s="132">
        <f t="shared" si="1"/>
        <v>0.26897920771066158</v>
      </c>
      <c r="T4" s="264" t="s">
        <v>111</v>
      </c>
      <c r="U4" s="84">
        <v>864.25</v>
      </c>
      <c r="V4" s="66"/>
    </row>
    <row r="5" spans="1:22" ht="45">
      <c r="A5" s="70">
        <v>3</v>
      </c>
      <c r="B5" s="201">
        <v>92950790</v>
      </c>
      <c r="C5" s="156" t="s">
        <v>38</v>
      </c>
      <c r="D5" s="172" t="s">
        <v>23</v>
      </c>
      <c r="E5" s="157">
        <v>22.4</v>
      </c>
      <c r="F5" s="99">
        <v>22.4</v>
      </c>
      <c r="G5" s="99">
        <v>22.38</v>
      </c>
      <c r="H5" s="99"/>
      <c r="I5" s="99" t="s">
        <v>32</v>
      </c>
      <c r="J5" s="99" t="s">
        <v>33</v>
      </c>
      <c r="K5" s="82">
        <v>46087</v>
      </c>
      <c r="L5" s="97">
        <v>46090</v>
      </c>
      <c r="M5" s="82" t="s">
        <v>39</v>
      </c>
      <c r="N5" s="260" t="s">
        <v>40</v>
      </c>
      <c r="O5" s="165">
        <v>3000</v>
      </c>
      <c r="P5" s="268" t="s">
        <v>112</v>
      </c>
      <c r="Q5" s="165">
        <v>8135</v>
      </c>
      <c r="R5" s="266">
        <f t="shared" si="0"/>
        <v>2214.8107813776205</v>
      </c>
      <c r="S5" s="133">
        <f t="shared" si="1"/>
        <v>0.26172973954079315</v>
      </c>
      <c r="T5" s="262" t="s">
        <v>113</v>
      </c>
      <c r="U5" s="263">
        <v>864.25</v>
      </c>
      <c r="V5" s="66"/>
    </row>
    <row r="6" spans="1:22" ht="45">
      <c r="A6" s="70">
        <v>4</v>
      </c>
      <c r="B6" s="258">
        <v>92961013</v>
      </c>
      <c r="C6" s="156" t="s">
        <v>58</v>
      </c>
      <c r="D6" s="164" t="s">
        <v>23</v>
      </c>
      <c r="E6" s="137">
        <v>22.4</v>
      </c>
      <c r="F6" s="138">
        <v>22.4</v>
      </c>
      <c r="G6" s="138">
        <v>22.34</v>
      </c>
      <c r="H6" s="138"/>
      <c r="I6" s="138" t="s">
        <v>32</v>
      </c>
      <c r="J6" s="138" t="s">
        <v>33</v>
      </c>
      <c r="K6" s="81">
        <v>46098</v>
      </c>
      <c r="L6" s="139">
        <v>46099</v>
      </c>
      <c r="M6" s="82" t="s">
        <v>39</v>
      </c>
      <c r="N6" s="260" t="s">
        <v>35</v>
      </c>
      <c r="O6" s="165">
        <v>1500</v>
      </c>
      <c r="P6" s="268" t="s">
        <v>114</v>
      </c>
      <c r="Q6" s="165">
        <v>3700</v>
      </c>
      <c r="R6" s="266">
        <f t="shared" si="0"/>
        <v>1007.3509392866866</v>
      </c>
      <c r="S6" s="133">
        <f t="shared" si="1"/>
        <v>0.3284327071422089</v>
      </c>
      <c r="T6" s="264" t="s">
        <v>115</v>
      </c>
      <c r="U6" s="84">
        <v>794.25</v>
      </c>
      <c r="V6" s="66"/>
    </row>
    <row r="7" spans="1:22">
      <c r="A7" s="70">
        <v>5</v>
      </c>
      <c r="B7" s="99">
        <v>92961034</v>
      </c>
      <c r="C7" s="74" t="s">
        <v>54</v>
      </c>
      <c r="D7" s="172" t="s">
        <v>23</v>
      </c>
      <c r="E7" s="78">
        <v>16.2</v>
      </c>
      <c r="F7" s="96">
        <v>17.225999999999999</v>
      </c>
      <c r="G7" s="73">
        <v>16.2</v>
      </c>
      <c r="H7" s="73">
        <v>18</v>
      </c>
      <c r="I7" s="73" t="s">
        <v>30</v>
      </c>
      <c r="J7" s="138" t="s">
        <v>33</v>
      </c>
      <c r="K7" s="81">
        <v>46094</v>
      </c>
      <c r="L7" s="139" t="s">
        <v>116</v>
      </c>
      <c r="M7" s="82" t="s">
        <v>55</v>
      </c>
      <c r="N7" s="136" t="s">
        <v>56</v>
      </c>
      <c r="O7" s="140">
        <v>0</v>
      </c>
      <c r="P7" s="268" t="s">
        <v>57</v>
      </c>
      <c r="Q7" s="166">
        <v>0</v>
      </c>
      <c r="R7" s="266">
        <v>0</v>
      </c>
      <c r="S7" s="250" t="s">
        <v>57</v>
      </c>
      <c r="T7" s="134"/>
      <c r="U7" s="66"/>
      <c r="V7" s="66"/>
    </row>
    <row r="8" spans="1:22" ht="120">
      <c r="A8" s="70">
        <v>6</v>
      </c>
      <c r="B8" s="258">
        <v>92961085</v>
      </c>
      <c r="C8" s="156" t="s">
        <v>67</v>
      </c>
      <c r="D8" s="244" t="s">
        <v>23</v>
      </c>
      <c r="E8" s="157">
        <v>22.5</v>
      </c>
      <c r="F8" s="99">
        <v>22.5</v>
      </c>
      <c r="G8" s="99">
        <v>22.48</v>
      </c>
      <c r="H8" s="99"/>
      <c r="I8" s="99" t="s">
        <v>32</v>
      </c>
      <c r="J8" s="99" t="s">
        <v>33</v>
      </c>
      <c r="K8" s="81">
        <v>46093</v>
      </c>
      <c r="L8" s="139" t="s">
        <v>52</v>
      </c>
      <c r="M8" s="82" t="s">
        <v>39</v>
      </c>
      <c r="N8" s="82" t="s">
        <v>40</v>
      </c>
      <c r="O8" s="165">
        <v>3380</v>
      </c>
      <c r="P8" s="270" t="s">
        <v>117</v>
      </c>
      <c r="Q8" s="271">
        <v>8135</v>
      </c>
      <c r="R8" s="274">
        <f t="shared" si="0"/>
        <v>2214.8107813776205</v>
      </c>
      <c r="S8" s="133">
        <f>(O8-R8)/O8</f>
        <v>0.34473053805395842</v>
      </c>
      <c r="T8" s="264" t="s">
        <v>118</v>
      </c>
      <c r="U8" s="84">
        <v>684.25</v>
      </c>
      <c r="V8" s="84">
        <v>7189</v>
      </c>
    </row>
    <row r="9" spans="1:22" ht="120">
      <c r="A9" s="70">
        <v>7</v>
      </c>
      <c r="B9" s="258">
        <v>92961086</v>
      </c>
      <c r="C9" s="156" t="s">
        <v>67</v>
      </c>
      <c r="D9" s="244" t="s">
        <v>23</v>
      </c>
      <c r="E9" s="157">
        <v>22.5</v>
      </c>
      <c r="F9" s="99">
        <v>22.5</v>
      </c>
      <c r="G9" s="99">
        <v>22.44</v>
      </c>
      <c r="H9" s="99"/>
      <c r="I9" s="99" t="s">
        <v>32</v>
      </c>
      <c r="J9" s="99" t="s">
        <v>33</v>
      </c>
      <c r="K9" s="81">
        <v>46099</v>
      </c>
      <c r="L9" s="139">
        <v>46106</v>
      </c>
      <c r="M9" s="82" t="s">
        <v>39</v>
      </c>
      <c r="N9" s="82" t="s">
        <v>35</v>
      </c>
      <c r="O9" s="165">
        <v>3380</v>
      </c>
      <c r="P9" s="268" t="s">
        <v>119</v>
      </c>
      <c r="Q9" s="165">
        <v>9635</v>
      </c>
      <c r="R9" s="266">
        <f t="shared" si="0"/>
        <v>2623.1962973046557</v>
      </c>
      <c r="S9" s="181">
        <f t="shared" si="1"/>
        <v>0.22390642091578233</v>
      </c>
      <c r="T9" s="264" t="s">
        <v>120</v>
      </c>
      <c r="U9" s="84">
        <v>684.25</v>
      </c>
      <c r="V9" s="84">
        <v>7189</v>
      </c>
    </row>
    <row r="10" spans="1:22" ht="45">
      <c r="A10" s="70">
        <v>8</v>
      </c>
      <c r="B10" s="258">
        <v>92964904</v>
      </c>
      <c r="C10" s="156" t="s">
        <v>45</v>
      </c>
      <c r="D10" s="164" t="s">
        <v>23</v>
      </c>
      <c r="E10" s="137">
        <v>19.8</v>
      </c>
      <c r="F10" s="138">
        <v>21.053999999999998</v>
      </c>
      <c r="G10" s="138">
        <v>19.8</v>
      </c>
      <c r="H10" s="138">
        <v>22</v>
      </c>
      <c r="I10" s="138" t="s">
        <v>30</v>
      </c>
      <c r="J10" s="138" t="s">
        <v>33</v>
      </c>
      <c r="K10" s="81">
        <v>46099</v>
      </c>
      <c r="L10" s="139">
        <v>46104</v>
      </c>
      <c r="M10" s="82" t="s">
        <v>39</v>
      </c>
      <c r="N10" s="136" t="s">
        <v>46</v>
      </c>
      <c r="O10" s="165">
        <v>2540</v>
      </c>
      <c r="P10" s="268" t="s">
        <v>121</v>
      </c>
      <c r="Q10" s="165">
        <v>6820</v>
      </c>
      <c r="R10" s="266">
        <f t="shared" si="0"/>
        <v>1856.7928124149196</v>
      </c>
      <c r="S10" s="181">
        <f t="shared" si="1"/>
        <v>0.26897920771066158</v>
      </c>
      <c r="T10" s="80" t="s">
        <v>122</v>
      </c>
      <c r="U10" s="314">
        <v>1021.75</v>
      </c>
      <c r="V10" s="66"/>
    </row>
    <row r="11" spans="1:22" ht="45">
      <c r="A11" s="70">
        <v>9</v>
      </c>
      <c r="B11" s="258">
        <v>92964905</v>
      </c>
      <c r="C11" s="156" t="s">
        <v>38</v>
      </c>
      <c r="D11" s="172" t="s">
        <v>23</v>
      </c>
      <c r="E11" s="157">
        <v>22.4</v>
      </c>
      <c r="F11" s="99">
        <v>22.4</v>
      </c>
      <c r="G11" s="138">
        <v>22.34</v>
      </c>
      <c r="H11" s="99"/>
      <c r="I11" s="99" t="s">
        <v>32</v>
      </c>
      <c r="J11" s="99" t="s">
        <v>33</v>
      </c>
      <c r="K11" s="81">
        <v>46098</v>
      </c>
      <c r="L11" s="139" t="s">
        <v>52</v>
      </c>
      <c r="M11" s="82" t="s">
        <v>39</v>
      </c>
      <c r="N11" s="260" t="s">
        <v>40</v>
      </c>
      <c r="O11" s="165">
        <v>3000</v>
      </c>
      <c r="P11" s="140" t="s">
        <v>123</v>
      </c>
      <c r="Q11" s="271">
        <v>8135</v>
      </c>
      <c r="R11" s="266">
        <f t="shared" si="0"/>
        <v>2214.8107813776205</v>
      </c>
      <c r="S11" s="132">
        <f t="shared" si="1"/>
        <v>0.26172973954079315</v>
      </c>
      <c r="T11" s="80" t="s">
        <v>124</v>
      </c>
      <c r="U11" s="84">
        <v>864.25</v>
      </c>
      <c r="V11" s="66"/>
    </row>
    <row r="12" spans="1:22" ht="30">
      <c r="A12" s="70">
        <v>10</v>
      </c>
      <c r="B12" s="258">
        <v>92965044</v>
      </c>
      <c r="C12" s="119" t="s">
        <v>31</v>
      </c>
      <c r="D12" s="77" t="s">
        <v>23</v>
      </c>
      <c r="E12" s="79">
        <v>22.4</v>
      </c>
      <c r="F12" s="85">
        <v>22.4</v>
      </c>
      <c r="G12" s="73">
        <v>22.37</v>
      </c>
      <c r="H12" s="71"/>
      <c r="I12" s="71" t="s">
        <v>32</v>
      </c>
      <c r="J12" s="73" t="s">
        <v>33</v>
      </c>
      <c r="K12" s="81">
        <v>46104</v>
      </c>
      <c r="L12" s="139">
        <v>46104</v>
      </c>
      <c r="M12" s="82" t="s">
        <v>63</v>
      </c>
      <c r="N12" s="136" t="s">
        <v>64</v>
      </c>
      <c r="O12" s="165">
        <v>420</v>
      </c>
      <c r="P12" s="268" t="s">
        <v>125</v>
      </c>
      <c r="Q12" s="165">
        <v>761.25</v>
      </c>
      <c r="R12" s="315">
        <f t="shared" si="0"/>
        <v>207.25564933297034</v>
      </c>
      <c r="S12" s="133">
        <f t="shared" si="1"/>
        <v>0.50653416825483255</v>
      </c>
      <c r="T12" s="264" t="s">
        <v>126</v>
      </c>
      <c r="U12" s="84">
        <v>560.85</v>
      </c>
      <c r="V12" s="66"/>
    </row>
    <row r="13" spans="1:22" ht="120">
      <c r="A13" s="70">
        <v>11</v>
      </c>
      <c r="B13" s="272">
        <v>92965514</v>
      </c>
      <c r="C13" s="156" t="s">
        <v>67</v>
      </c>
      <c r="D13" s="244" t="s">
        <v>23</v>
      </c>
      <c r="E13" s="157">
        <v>22.5</v>
      </c>
      <c r="F13" s="99">
        <v>22.5</v>
      </c>
      <c r="G13" s="99">
        <v>22.46</v>
      </c>
      <c r="H13" s="99"/>
      <c r="I13" s="99" t="s">
        <v>32</v>
      </c>
      <c r="J13" s="99" t="s">
        <v>33</v>
      </c>
      <c r="K13" s="81">
        <v>46107</v>
      </c>
      <c r="L13" s="139">
        <v>46106</v>
      </c>
      <c r="M13" s="82" t="s">
        <v>39</v>
      </c>
      <c r="N13" s="82" t="s">
        <v>40</v>
      </c>
      <c r="O13" s="165">
        <v>3380</v>
      </c>
      <c r="P13" s="297" t="s">
        <v>127</v>
      </c>
      <c r="Q13" s="298">
        <v>7935</v>
      </c>
      <c r="R13" s="313">
        <f t="shared" si="0"/>
        <v>2160.3593792540159</v>
      </c>
      <c r="S13" s="155">
        <f t="shared" si="1"/>
        <v>0.36084042033904856</v>
      </c>
      <c r="T13" s="80" t="s">
        <v>128</v>
      </c>
      <c r="U13" s="84">
        <v>684.25</v>
      </c>
      <c r="V13" s="84">
        <v>7189</v>
      </c>
    </row>
    <row r="14" spans="1:22" ht="120">
      <c r="A14" s="70">
        <v>12</v>
      </c>
      <c r="B14" s="259">
        <v>92965524</v>
      </c>
      <c r="C14" s="156" t="s">
        <v>67</v>
      </c>
      <c r="D14" s="244" t="s">
        <v>23</v>
      </c>
      <c r="E14" s="157">
        <v>22.5</v>
      </c>
      <c r="F14" s="99">
        <v>22.5</v>
      </c>
      <c r="G14" s="99">
        <v>22.48</v>
      </c>
      <c r="H14" s="99"/>
      <c r="I14" s="99" t="s">
        <v>32</v>
      </c>
      <c r="J14" s="99" t="s">
        <v>33</v>
      </c>
      <c r="K14" s="81">
        <v>46111</v>
      </c>
      <c r="L14" s="139">
        <v>46112</v>
      </c>
      <c r="M14" s="82" t="s">
        <v>39</v>
      </c>
      <c r="N14" s="82" t="s">
        <v>40</v>
      </c>
      <c r="O14" s="165">
        <v>3380</v>
      </c>
      <c r="P14" s="291" t="s">
        <v>129</v>
      </c>
      <c r="Q14" s="165">
        <v>7935</v>
      </c>
      <c r="R14" s="292">
        <f t="shared" si="0"/>
        <v>2160.3593792540159</v>
      </c>
      <c r="S14" s="132">
        <f t="shared" si="1"/>
        <v>0.36084042033904856</v>
      </c>
      <c r="T14" s="262" t="s">
        <v>130</v>
      </c>
      <c r="U14" s="84">
        <v>684.25</v>
      </c>
      <c r="V14" s="84">
        <v>7189</v>
      </c>
    </row>
    <row r="15" spans="1:22">
      <c r="A15" s="72">
        <v>13</v>
      </c>
      <c r="B15" s="73">
        <v>92971676</v>
      </c>
      <c r="C15" s="74" t="s">
        <v>54</v>
      </c>
      <c r="D15" s="172" t="s">
        <v>23</v>
      </c>
      <c r="E15" s="78">
        <v>16.2</v>
      </c>
      <c r="F15" s="96">
        <v>17.225999999999999</v>
      </c>
      <c r="G15" s="73">
        <v>16.2</v>
      </c>
      <c r="H15" s="73">
        <v>18</v>
      </c>
      <c r="I15" s="73" t="s">
        <v>30</v>
      </c>
      <c r="J15" s="99" t="s">
        <v>33</v>
      </c>
      <c r="K15" s="82">
        <v>46111</v>
      </c>
      <c r="L15" s="97" t="s">
        <v>116</v>
      </c>
      <c r="M15" s="82" t="s">
        <v>55</v>
      </c>
      <c r="N15" s="260" t="s">
        <v>56</v>
      </c>
      <c r="O15" s="268">
        <v>0</v>
      </c>
      <c r="P15" s="268" t="s">
        <v>57</v>
      </c>
      <c r="Q15" s="166">
        <v>0</v>
      </c>
      <c r="R15" s="292">
        <v>0</v>
      </c>
      <c r="S15" s="306" t="s">
        <v>57</v>
      </c>
      <c r="T15" s="65"/>
      <c r="U15" s="66"/>
      <c r="V15" s="66"/>
    </row>
    <row r="16" spans="1:22" s="31" customFormat="1" ht="15.75">
      <c r="A16" s="141">
        <f>COUNT(A3:A15)</f>
        <v>13</v>
      </c>
      <c r="B16" s="22"/>
      <c r="E16" s="142">
        <f>SUM(E3:E15)</f>
        <v>274</v>
      </c>
      <c r="G16" s="143">
        <f>SUM(G3:G15)</f>
        <v>273.67</v>
      </c>
      <c r="H16" s="22"/>
      <c r="I16" s="22"/>
      <c r="J16" s="22"/>
      <c r="K16" s="144"/>
      <c r="L16" s="145"/>
      <c r="M16" s="145"/>
      <c r="N16" s="94"/>
      <c r="P16" s="146"/>
      <c r="Q16" s="147">
        <f>SUM(Q3:Q15)</f>
        <v>68982.5</v>
      </c>
      <c r="R16" s="145"/>
    </row>
    <row r="17" spans="1:16">
      <c r="A17" s="6" t="s">
        <v>70</v>
      </c>
      <c r="C17" s="6"/>
      <c r="D17" s="7"/>
      <c r="E17" s="8"/>
      <c r="F17" s="8"/>
      <c r="G17" s="8"/>
      <c r="H17"/>
      <c r="I17"/>
      <c r="J17"/>
      <c r="K17"/>
      <c r="M17"/>
    </row>
    <row r="18" spans="1:16">
      <c r="A18" s="6"/>
      <c r="B18" s="178"/>
      <c r="C18" s="6" t="s">
        <v>71</v>
      </c>
      <c r="D18" s="7"/>
      <c r="E18" s="8"/>
      <c r="F18" s="8"/>
      <c r="G18" s="8"/>
      <c r="H18"/>
      <c r="I18"/>
      <c r="J18"/>
      <c r="K18"/>
      <c r="L18"/>
      <c r="M18"/>
      <c r="N18"/>
    </row>
    <row r="19" spans="1:16">
      <c r="A19" s="6"/>
      <c r="C19" s="6"/>
      <c r="D19" s="7"/>
      <c r="E19" s="8"/>
      <c r="F19" s="9" t="s">
        <v>72</v>
      </c>
      <c r="G19" s="8"/>
      <c r="H19"/>
      <c r="I19"/>
      <c r="J19"/>
      <c r="K19"/>
      <c r="L19"/>
      <c r="M19"/>
      <c r="N19"/>
    </row>
    <row r="20" spans="1:16">
      <c r="A20" s="7"/>
      <c r="B20" s="8"/>
      <c r="C20" s="8"/>
      <c r="D20" s="8"/>
      <c r="F20" t="s">
        <v>73</v>
      </c>
      <c r="H20"/>
      <c r="I20"/>
      <c r="J20"/>
      <c r="K20"/>
      <c r="L20"/>
      <c r="M20"/>
      <c r="N20"/>
    </row>
    <row r="21" spans="1:16">
      <c r="A21" s="7"/>
      <c r="B21" s="8"/>
      <c r="C21" s="8"/>
      <c r="D21" s="8"/>
      <c r="F21" t="s">
        <v>74</v>
      </c>
      <c r="H21"/>
      <c r="I21"/>
      <c r="J21"/>
      <c r="K21"/>
      <c r="L21"/>
      <c r="M21"/>
      <c r="N21"/>
    </row>
    <row r="22" spans="1:16">
      <c r="A22" s="7"/>
      <c r="B22" s="8"/>
      <c r="C22" s="8"/>
      <c r="D22" s="8"/>
      <c r="F22" t="s">
        <v>75</v>
      </c>
      <c r="H22"/>
      <c r="I22"/>
      <c r="J22"/>
      <c r="K22"/>
      <c r="L22"/>
      <c r="M22"/>
      <c r="N22"/>
    </row>
    <row r="23" spans="1:16">
      <c r="F23" t="s">
        <v>76</v>
      </c>
      <c r="N23"/>
    </row>
    <row r="24" spans="1:16" ht="14.1" customHeight="1">
      <c r="A24" s="10" t="s">
        <v>77</v>
      </c>
      <c r="B24" s="10"/>
      <c r="C24" s="10"/>
      <c r="F24" t="s">
        <v>78</v>
      </c>
    </row>
    <row r="25" spans="1:16" ht="60">
      <c r="B25" s="23" t="s">
        <v>131</v>
      </c>
      <c r="C25" s="283">
        <v>92950938</v>
      </c>
      <c r="D25" s="280" t="s">
        <v>51</v>
      </c>
      <c r="E25" s="285" t="s">
        <v>23</v>
      </c>
      <c r="F25" s="281">
        <v>16.2</v>
      </c>
      <c r="G25" s="282">
        <v>17.225999999999999</v>
      </c>
      <c r="H25" s="283">
        <v>16.2</v>
      </c>
      <c r="I25" s="283">
        <v>18</v>
      </c>
      <c r="J25" s="283" t="s">
        <v>30</v>
      </c>
      <c r="K25" s="283" t="s">
        <v>25</v>
      </c>
      <c r="L25" s="284" t="s">
        <v>132</v>
      </c>
      <c r="M25" s="303" t="s">
        <v>52</v>
      </c>
      <c r="N25" s="284" t="s">
        <v>133</v>
      </c>
      <c r="O25" s="301"/>
      <c r="P25" s="302"/>
    </row>
    <row r="26" spans="1:16" ht="30">
      <c r="A26" s="6"/>
      <c r="B26" s="23" t="s">
        <v>131</v>
      </c>
      <c r="C26" s="286">
        <v>92940913</v>
      </c>
      <c r="D26" s="280" t="s">
        <v>90</v>
      </c>
      <c r="E26" s="287" t="s">
        <v>23</v>
      </c>
      <c r="F26" s="281">
        <v>16</v>
      </c>
      <c r="G26" s="283">
        <v>17.404</v>
      </c>
      <c r="H26" s="283">
        <v>16</v>
      </c>
      <c r="I26" s="283">
        <v>80</v>
      </c>
      <c r="J26" s="283" t="s">
        <v>24</v>
      </c>
      <c r="K26" s="288" t="s">
        <v>25</v>
      </c>
      <c r="L26" s="289" t="s">
        <v>132</v>
      </c>
      <c r="M26" s="290">
        <v>46091</v>
      </c>
      <c r="N26" s="284" t="s">
        <v>133</v>
      </c>
      <c r="O26" s="301"/>
      <c r="P26" s="302"/>
    </row>
    <row r="27" spans="1:16" ht="45">
      <c r="B27" s="23" t="s">
        <v>131</v>
      </c>
      <c r="C27" s="304">
        <v>92967503</v>
      </c>
      <c r="D27" s="305" t="s">
        <v>22</v>
      </c>
      <c r="E27" s="299" t="s">
        <v>23</v>
      </c>
      <c r="F27" s="300">
        <v>16</v>
      </c>
      <c r="G27" s="288">
        <v>17.404</v>
      </c>
      <c r="H27" s="288">
        <v>16</v>
      </c>
      <c r="I27" s="288">
        <v>80</v>
      </c>
      <c r="J27" s="288" t="s">
        <v>24</v>
      </c>
      <c r="K27" s="288" t="s">
        <v>33</v>
      </c>
      <c r="L27" s="289" t="s">
        <v>132</v>
      </c>
      <c r="M27" s="290" t="s">
        <v>52</v>
      </c>
      <c r="N27" s="284" t="s">
        <v>133</v>
      </c>
    </row>
    <row r="28" spans="1:16" ht="45">
      <c r="B28" s="23" t="s">
        <v>131</v>
      </c>
      <c r="C28" s="283">
        <v>92967504</v>
      </c>
      <c r="D28" s="280" t="s">
        <v>22</v>
      </c>
      <c r="E28" s="285" t="s">
        <v>23</v>
      </c>
      <c r="F28" s="281">
        <v>16</v>
      </c>
      <c r="G28" s="283">
        <v>17.404</v>
      </c>
      <c r="H28" s="283">
        <v>16</v>
      </c>
      <c r="I28" s="283">
        <v>80</v>
      </c>
      <c r="J28" s="283" t="s">
        <v>24</v>
      </c>
      <c r="K28" s="283" t="s">
        <v>33</v>
      </c>
      <c r="L28" s="284" t="s">
        <v>132</v>
      </c>
      <c r="M28" s="284" t="s">
        <v>52</v>
      </c>
      <c r="N28" s="284" t="s">
        <v>133</v>
      </c>
    </row>
    <row r="29" spans="1:16">
      <c r="B29" s="182"/>
      <c r="C29" s="183"/>
      <c r="D29" s="184"/>
      <c r="E29" s="185"/>
      <c r="F29" s="186"/>
      <c r="G29" s="182"/>
      <c r="H29" s="182"/>
      <c r="I29" s="182"/>
      <c r="J29" s="182"/>
      <c r="K29" s="187"/>
      <c r="L29" s="188"/>
      <c r="M29" s="188"/>
      <c r="N29" s="188"/>
      <c r="O29" s="189"/>
      <c r="P29" s="188"/>
    </row>
    <row r="1048404" spans="3:19" s="6" customFormat="1">
      <c r="C1048404"/>
      <c r="D1048404" s="11"/>
      <c r="E1048404" s="11"/>
      <c r="F1048404" s="11"/>
      <c r="G1048404" s="11"/>
      <c r="K1048404" s="7"/>
      <c r="L1048404" s="8"/>
      <c r="M1048404" s="8"/>
      <c r="N1048404" s="8"/>
      <c r="O1048404"/>
      <c r="P1048404"/>
      <c r="Q1048404"/>
      <c r="R1048404"/>
      <c r="S1048404"/>
    </row>
  </sheetData>
  <autoFilter ref="A2:V28" xr:uid="{63321920-6B51-4EF3-828E-E82B8795E23E}"/>
  <mergeCells count="1">
    <mergeCell ref="A1:U1"/>
  </mergeCells>
  <pageMargins left="0.25" right="0.25" top="0.75" bottom="0.75" header="0.3" footer="0.3"/>
  <pageSetup paperSize="9" scale="4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6030-B73E-4755-A7A8-8E04CA141CC4}">
  <sheetPr>
    <tabColor rgb="FF92D050"/>
  </sheetPr>
  <dimension ref="A1:BU1048405"/>
  <sheetViews>
    <sheetView topLeftCell="A3" zoomScaleNormal="100" workbookViewId="0">
      <selection activeCell="C5" sqref="C5"/>
    </sheetView>
  </sheetViews>
  <sheetFormatPr defaultRowHeight="15"/>
  <cols>
    <col min="1" max="1" width="4.42578125" customWidth="1"/>
    <col min="2" max="2" width="13.140625" style="6" customWidth="1"/>
    <col min="3" max="3" width="29.28515625" customWidth="1"/>
    <col min="4" max="4" width="12.42578125" customWidth="1"/>
    <col min="5" max="5" width="8.42578125" customWidth="1"/>
    <col min="6" max="6" width="10.42578125" customWidth="1"/>
    <col min="7" max="7" width="12.42578125" customWidth="1"/>
    <col min="8" max="8" width="8.42578125" style="6" customWidth="1"/>
    <col min="9" max="9" width="10.42578125" style="6" bestFit="1" customWidth="1"/>
    <col min="10" max="10" width="10.42578125" style="6" customWidth="1"/>
    <col min="11" max="11" width="15.42578125" style="7" bestFit="1" customWidth="1"/>
    <col min="12" max="12" width="11.7109375" style="8" customWidth="1"/>
    <col min="13" max="13" width="21.42578125" style="8" customWidth="1"/>
    <col min="14" max="14" width="15" style="8" customWidth="1"/>
    <col min="15" max="15" width="14.5703125" customWidth="1"/>
    <col min="16" max="16" width="21.7109375" customWidth="1"/>
    <col min="17" max="17" width="12.42578125" customWidth="1"/>
    <col min="18" max="18" width="13.140625" customWidth="1"/>
    <col min="19" max="19" width="19.140625" customWidth="1"/>
    <col min="20" max="20" width="14" customWidth="1"/>
    <col min="21" max="21" width="9.140625" bestFit="1" customWidth="1"/>
  </cols>
  <sheetData>
    <row r="1" spans="1:73" ht="31.5" customHeight="1">
      <c r="A1" s="608" t="s">
        <v>134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87"/>
    </row>
    <row r="2" spans="1:73" ht="65.45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171" t="s">
        <v>12</v>
      </c>
      <c r="M2" s="170" t="s">
        <v>13</v>
      </c>
      <c r="N2" s="199" t="s">
        <v>14</v>
      </c>
      <c r="O2" s="3" t="s">
        <v>15</v>
      </c>
      <c r="P2" s="2" t="s">
        <v>16</v>
      </c>
      <c r="Q2" s="2" t="s">
        <v>17</v>
      </c>
      <c r="R2" s="2" t="s">
        <v>18</v>
      </c>
      <c r="S2" s="131" t="s">
        <v>19</v>
      </c>
      <c r="T2" s="3" t="s">
        <v>20</v>
      </c>
      <c r="U2" s="4" t="s">
        <v>17</v>
      </c>
      <c r="V2" s="4" t="s">
        <v>21</v>
      </c>
    </row>
    <row r="3" spans="1:73" ht="45">
      <c r="A3" s="70">
        <v>1</v>
      </c>
      <c r="B3" s="331">
        <v>92965046</v>
      </c>
      <c r="C3" s="119" t="s">
        <v>31</v>
      </c>
      <c r="D3" s="77" t="s">
        <v>23</v>
      </c>
      <c r="E3" s="79">
        <v>22.4</v>
      </c>
      <c r="F3" s="85">
        <v>22.4</v>
      </c>
      <c r="G3" s="73">
        <v>22.39</v>
      </c>
      <c r="H3" s="71"/>
      <c r="I3" s="71" t="s">
        <v>32</v>
      </c>
      <c r="J3" s="73" t="s">
        <v>33</v>
      </c>
      <c r="K3" s="81">
        <v>46119</v>
      </c>
      <c r="L3" s="139">
        <v>46120</v>
      </c>
      <c r="M3" s="82" t="s">
        <v>135</v>
      </c>
      <c r="N3" s="81" t="s">
        <v>64</v>
      </c>
      <c r="O3" s="165">
        <v>420</v>
      </c>
      <c r="P3" s="291" t="s">
        <v>136</v>
      </c>
      <c r="Q3" s="165">
        <v>1102.5</v>
      </c>
      <c r="R3" s="292">
        <f t="shared" ref="R3:R16" si="0">Q3/3.673</f>
        <v>300.1633542063708</v>
      </c>
      <c r="S3" s="132">
        <f t="shared" ref="S3:S16" si="1">(O3-R3)/O3</f>
        <v>0.28532534712768859</v>
      </c>
      <c r="T3" s="264" t="s">
        <v>126</v>
      </c>
      <c r="U3" s="84">
        <v>560.85</v>
      </c>
      <c r="V3" s="66"/>
    </row>
    <row r="4" spans="1:73" ht="45">
      <c r="A4" s="70">
        <v>2</v>
      </c>
      <c r="B4" s="261">
        <v>92975699</v>
      </c>
      <c r="C4" s="156" t="s">
        <v>58</v>
      </c>
      <c r="D4" s="164" t="s">
        <v>23</v>
      </c>
      <c r="E4" s="137">
        <v>22.4</v>
      </c>
      <c r="F4" s="138">
        <v>22.4</v>
      </c>
      <c r="G4" s="138">
        <v>22.33</v>
      </c>
      <c r="H4" s="138"/>
      <c r="I4" s="138" t="s">
        <v>32</v>
      </c>
      <c r="J4" s="138" t="s">
        <v>33</v>
      </c>
      <c r="K4" s="81">
        <v>46115</v>
      </c>
      <c r="L4" s="139">
        <v>46117</v>
      </c>
      <c r="M4" s="82" t="s">
        <v>39</v>
      </c>
      <c r="N4" s="260" t="s">
        <v>35</v>
      </c>
      <c r="O4" s="165">
        <v>1500</v>
      </c>
      <c r="P4" s="319" t="s">
        <v>137</v>
      </c>
      <c r="Q4" s="271">
        <v>3700</v>
      </c>
      <c r="R4" s="274">
        <f t="shared" si="0"/>
        <v>1007.3509392866866</v>
      </c>
      <c r="S4" s="133">
        <f>(O4-R4)/O4</f>
        <v>0.3284327071422089</v>
      </c>
      <c r="T4" s="264" t="s">
        <v>138</v>
      </c>
      <c r="U4" s="84">
        <v>794.25</v>
      </c>
      <c r="V4" s="66"/>
    </row>
    <row r="5" spans="1:73" ht="30">
      <c r="A5" s="70">
        <v>3</v>
      </c>
      <c r="B5" s="258">
        <v>92991063</v>
      </c>
      <c r="C5" s="156" t="s">
        <v>139</v>
      </c>
      <c r="D5" s="164" t="s">
        <v>23</v>
      </c>
      <c r="E5" s="157">
        <v>16</v>
      </c>
      <c r="F5" s="265">
        <v>17.404</v>
      </c>
      <c r="G5" s="138">
        <v>16</v>
      </c>
      <c r="H5" s="138">
        <v>80</v>
      </c>
      <c r="I5" s="138" t="s">
        <v>24</v>
      </c>
      <c r="J5" s="138" t="s">
        <v>33</v>
      </c>
      <c r="K5" s="81">
        <v>46118</v>
      </c>
      <c r="L5" s="139">
        <v>46119</v>
      </c>
      <c r="M5" s="82" t="s">
        <v>63</v>
      </c>
      <c r="N5" s="81" t="s">
        <v>64</v>
      </c>
      <c r="O5" s="307">
        <v>440</v>
      </c>
      <c r="P5" s="291" t="s">
        <v>136</v>
      </c>
      <c r="Q5" s="165">
        <v>1023.75</v>
      </c>
      <c r="R5" s="266">
        <f t="shared" si="0"/>
        <v>278.72311462020144</v>
      </c>
      <c r="S5" s="181">
        <f t="shared" si="1"/>
        <v>0.36653837586317856</v>
      </c>
      <c r="T5" s="264" t="s">
        <v>140</v>
      </c>
      <c r="U5" s="84">
        <v>450.85</v>
      </c>
      <c r="V5" s="84">
        <v>5579</v>
      </c>
    </row>
    <row r="6" spans="1:73" ht="45">
      <c r="A6" s="70">
        <v>4</v>
      </c>
      <c r="B6" s="258">
        <v>92991132</v>
      </c>
      <c r="C6" s="156" t="s">
        <v>38</v>
      </c>
      <c r="D6" s="172" t="s">
        <v>23</v>
      </c>
      <c r="E6" s="157">
        <v>22.4</v>
      </c>
      <c r="F6" s="99">
        <v>22.4</v>
      </c>
      <c r="G6" s="138">
        <v>22.36</v>
      </c>
      <c r="H6" s="99"/>
      <c r="I6" s="99" t="s">
        <v>32</v>
      </c>
      <c r="J6" s="99" t="s">
        <v>33</v>
      </c>
      <c r="K6" s="81">
        <v>46115</v>
      </c>
      <c r="L6" s="139" t="s">
        <v>52</v>
      </c>
      <c r="M6" s="82" t="s">
        <v>39</v>
      </c>
      <c r="N6" s="260" t="s">
        <v>35</v>
      </c>
      <c r="O6" s="165">
        <v>3000</v>
      </c>
      <c r="P6" s="268" t="s">
        <v>141</v>
      </c>
      <c r="Q6" s="165">
        <v>9935</v>
      </c>
      <c r="R6" s="266">
        <f t="shared" si="0"/>
        <v>2704.8734004900625</v>
      </c>
      <c r="S6" s="181">
        <f t="shared" si="1"/>
        <v>9.8375533169979157E-2</v>
      </c>
      <c r="T6" s="80" t="s">
        <v>142</v>
      </c>
      <c r="U6" s="84">
        <v>864.25</v>
      </c>
      <c r="V6" s="66"/>
    </row>
    <row r="7" spans="1:73" ht="45">
      <c r="A7" s="70">
        <v>5</v>
      </c>
      <c r="B7" s="258">
        <v>92991133</v>
      </c>
      <c r="C7" s="156" t="s">
        <v>45</v>
      </c>
      <c r="D7" s="164" t="s">
        <v>23</v>
      </c>
      <c r="E7" s="137">
        <v>19.8</v>
      </c>
      <c r="F7" s="138">
        <v>21.053999999999998</v>
      </c>
      <c r="G7" s="138">
        <v>19.8</v>
      </c>
      <c r="H7" s="138">
        <v>22</v>
      </c>
      <c r="I7" s="138" t="s">
        <v>30</v>
      </c>
      <c r="J7" s="138" t="s">
        <v>33</v>
      </c>
      <c r="K7" s="81">
        <v>46118</v>
      </c>
      <c r="L7" s="139" t="s">
        <v>52</v>
      </c>
      <c r="M7" s="82" t="s">
        <v>39</v>
      </c>
      <c r="N7" s="136" t="s">
        <v>46</v>
      </c>
      <c r="O7" s="165">
        <v>2540</v>
      </c>
      <c r="P7" s="140" t="s">
        <v>143</v>
      </c>
      <c r="Q7" s="271">
        <v>7120</v>
      </c>
      <c r="R7" s="266">
        <f t="shared" si="0"/>
        <v>1938.4699156003267</v>
      </c>
      <c r="S7" s="132">
        <f t="shared" si="1"/>
        <v>0.23682286787388715</v>
      </c>
      <c r="T7" s="80" t="s">
        <v>144</v>
      </c>
      <c r="U7" s="84">
        <v>864.25</v>
      </c>
      <c r="V7" s="66"/>
    </row>
    <row r="8" spans="1:73" ht="120">
      <c r="A8" s="70">
        <v>6</v>
      </c>
      <c r="B8" s="258">
        <v>92991604</v>
      </c>
      <c r="C8" s="156" t="s">
        <v>67</v>
      </c>
      <c r="D8" s="244" t="s">
        <v>23</v>
      </c>
      <c r="E8" s="157">
        <v>22.5</v>
      </c>
      <c r="F8" s="99">
        <v>22.5</v>
      </c>
      <c r="G8" s="99">
        <v>22.45</v>
      </c>
      <c r="H8" s="99"/>
      <c r="I8" s="99" t="s">
        <v>32</v>
      </c>
      <c r="J8" s="99" t="s">
        <v>33</v>
      </c>
      <c r="K8" s="81">
        <v>46115</v>
      </c>
      <c r="L8" s="139" t="s">
        <v>52</v>
      </c>
      <c r="M8" s="82" t="s">
        <v>39</v>
      </c>
      <c r="N8" s="260" t="s">
        <v>35</v>
      </c>
      <c r="O8" s="165">
        <v>3380</v>
      </c>
      <c r="P8" s="268" t="s">
        <v>145</v>
      </c>
      <c r="Q8" s="165">
        <v>9935</v>
      </c>
      <c r="R8" s="315">
        <f t="shared" si="0"/>
        <v>2704.8734004900625</v>
      </c>
      <c r="S8" s="133">
        <f t="shared" si="1"/>
        <v>0.19974159748814718</v>
      </c>
      <c r="T8" s="264" t="s">
        <v>146</v>
      </c>
      <c r="U8" s="84">
        <v>684.25</v>
      </c>
      <c r="V8" s="314">
        <v>8222</v>
      </c>
    </row>
    <row r="9" spans="1:73">
      <c r="A9" s="70">
        <v>7</v>
      </c>
      <c r="B9" s="168">
        <v>92995308</v>
      </c>
      <c r="C9" s="119" t="s">
        <v>147</v>
      </c>
      <c r="D9" s="172" t="s">
        <v>23</v>
      </c>
      <c r="E9" s="157">
        <v>16</v>
      </c>
      <c r="F9" s="265">
        <v>17.404</v>
      </c>
      <c r="G9" s="138">
        <v>16</v>
      </c>
      <c r="H9" s="138">
        <v>80</v>
      </c>
      <c r="I9" s="138" t="s">
        <v>24</v>
      </c>
      <c r="J9" s="138" t="s">
        <v>33</v>
      </c>
      <c r="K9" s="81">
        <v>46118</v>
      </c>
      <c r="L9" s="139" t="s">
        <v>116</v>
      </c>
      <c r="M9" s="82" t="s">
        <v>27</v>
      </c>
      <c r="N9" s="136" t="s">
        <v>148</v>
      </c>
      <c r="O9" s="140">
        <v>0</v>
      </c>
      <c r="P9" s="268" t="s">
        <v>57</v>
      </c>
      <c r="Q9" s="166">
        <v>0</v>
      </c>
      <c r="R9" s="292">
        <v>0</v>
      </c>
      <c r="S9" s="133" t="s">
        <v>57</v>
      </c>
      <c r="T9" s="134"/>
      <c r="U9" s="66"/>
      <c r="V9" s="66"/>
    </row>
    <row r="10" spans="1:73" ht="14.25" customHeight="1">
      <c r="A10" s="70">
        <v>8</v>
      </c>
      <c r="B10" s="73">
        <v>93002345</v>
      </c>
      <c r="C10" s="119" t="s">
        <v>147</v>
      </c>
      <c r="D10" s="172" t="s">
        <v>23</v>
      </c>
      <c r="E10" s="157">
        <v>16</v>
      </c>
      <c r="F10" s="265">
        <v>17.404</v>
      </c>
      <c r="G10" s="138">
        <v>16</v>
      </c>
      <c r="H10" s="138">
        <v>80</v>
      </c>
      <c r="I10" s="138" t="s">
        <v>24</v>
      </c>
      <c r="J10" s="138" t="s">
        <v>33</v>
      </c>
      <c r="K10" s="81">
        <v>46126</v>
      </c>
      <c r="L10" s="139" t="s">
        <v>116</v>
      </c>
      <c r="M10" s="82" t="s">
        <v>27</v>
      </c>
      <c r="N10" s="136" t="s">
        <v>148</v>
      </c>
      <c r="O10" s="140">
        <v>0</v>
      </c>
      <c r="P10" s="268" t="s">
        <v>57</v>
      </c>
      <c r="Q10" s="166">
        <v>0</v>
      </c>
      <c r="R10" s="292">
        <v>0</v>
      </c>
      <c r="S10" s="306" t="s">
        <v>57</v>
      </c>
      <c r="T10" s="65"/>
      <c r="U10" s="66"/>
      <c r="V10" s="66"/>
    </row>
    <row r="11" spans="1:73" ht="30">
      <c r="A11" s="70">
        <v>9</v>
      </c>
      <c r="B11" s="259">
        <v>93002719</v>
      </c>
      <c r="C11" s="119" t="s">
        <v>31</v>
      </c>
      <c r="D11" s="77" t="s">
        <v>23</v>
      </c>
      <c r="E11" s="79">
        <v>22.4</v>
      </c>
      <c r="F11" s="85">
        <v>22.4</v>
      </c>
      <c r="G11" s="73">
        <v>22.31</v>
      </c>
      <c r="H11" s="71"/>
      <c r="I11" s="71" t="s">
        <v>32</v>
      </c>
      <c r="J11" s="73" t="s">
        <v>33</v>
      </c>
      <c r="K11" s="139">
        <v>46139</v>
      </c>
      <c r="L11" s="139">
        <v>46139</v>
      </c>
      <c r="M11" s="82" t="s">
        <v>63</v>
      </c>
      <c r="N11" s="81" t="s">
        <v>64</v>
      </c>
      <c r="O11" s="165">
        <v>420</v>
      </c>
      <c r="P11" s="291" t="s">
        <v>136</v>
      </c>
      <c r="Q11" s="165">
        <v>1102.5</v>
      </c>
      <c r="R11" s="292">
        <f t="shared" si="0"/>
        <v>300.1633542063708</v>
      </c>
      <c r="S11" s="132">
        <f t="shared" si="1"/>
        <v>0.28532534712768859</v>
      </c>
      <c r="T11" s="277" t="s">
        <v>149</v>
      </c>
      <c r="U11" s="84">
        <v>560.85</v>
      </c>
      <c r="V11" s="69"/>
    </row>
    <row r="12" spans="1:73" s="83" customFormat="1" ht="45">
      <c r="A12" s="70">
        <v>10</v>
      </c>
      <c r="B12" s="272">
        <v>93008417</v>
      </c>
      <c r="C12" s="156" t="s">
        <v>38</v>
      </c>
      <c r="D12" s="172" t="s">
        <v>23</v>
      </c>
      <c r="E12" s="157">
        <v>22.4</v>
      </c>
      <c r="F12" s="99">
        <v>22.4</v>
      </c>
      <c r="G12" s="138">
        <v>22.36</v>
      </c>
      <c r="H12" s="99"/>
      <c r="I12" s="99" t="s">
        <v>32</v>
      </c>
      <c r="J12" s="99" t="s">
        <v>33</v>
      </c>
      <c r="K12" s="81">
        <v>46126</v>
      </c>
      <c r="L12" s="139" t="s">
        <v>52</v>
      </c>
      <c r="M12" s="82" t="s">
        <v>39</v>
      </c>
      <c r="N12" s="260" t="s">
        <v>40</v>
      </c>
      <c r="O12" s="165">
        <v>3000</v>
      </c>
      <c r="P12" s="291" t="s">
        <v>150</v>
      </c>
      <c r="Q12" s="165">
        <v>9635</v>
      </c>
      <c r="R12" s="266">
        <f t="shared" si="0"/>
        <v>2623.1962973046557</v>
      </c>
      <c r="S12" s="132">
        <f t="shared" si="1"/>
        <v>0.12560123423178143</v>
      </c>
      <c r="T12" s="80" t="s">
        <v>151</v>
      </c>
      <c r="U12" s="84">
        <v>864.25</v>
      </c>
      <c r="V12" s="66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 s="101"/>
    </row>
    <row r="13" spans="1:73" ht="45">
      <c r="A13" s="70">
        <v>11</v>
      </c>
      <c r="B13" s="258">
        <v>93008420</v>
      </c>
      <c r="C13" s="156" t="s">
        <v>45</v>
      </c>
      <c r="D13" s="164" t="s">
        <v>23</v>
      </c>
      <c r="E13" s="137">
        <v>19.8</v>
      </c>
      <c r="F13" s="138">
        <v>21.053999999999998</v>
      </c>
      <c r="G13" s="138">
        <v>19.8</v>
      </c>
      <c r="H13" s="138">
        <v>22</v>
      </c>
      <c r="I13" s="138" t="s">
        <v>30</v>
      </c>
      <c r="J13" s="138" t="s">
        <v>33</v>
      </c>
      <c r="K13" s="81">
        <v>46128</v>
      </c>
      <c r="L13" s="139" t="s">
        <v>52</v>
      </c>
      <c r="M13" s="82" t="s">
        <v>39</v>
      </c>
      <c r="N13" s="317" t="s">
        <v>46</v>
      </c>
      <c r="O13" s="165">
        <v>2540</v>
      </c>
      <c r="P13" s="291" t="s">
        <v>152</v>
      </c>
      <c r="Q13" s="165">
        <v>8220</v>
      </c>
      <c r="R13" s="266">
        <f t="shared" si="0"/>
        <v>2237.9526272801522</v>
      </c>
      <c r="S13" s="132">
        <f t="shared" si="1"/>
        <v>0.11891628847238102</v>
      </c>
      <c r="T13" s="80" t="s">
        <v>153</v>
      </c>
      <c r="U13" s="84">
        <v>884.25</v>
      </c>
      <c r="V13" s="66"/>
    </row>
    <row r="14" spans="1:73" ht="30">
      <c r="A14" s="70">
        <v>12</v>
      </c>
      <c r="B14" s="261">
        <v>93008453</v>
      </c>
      <c r="C14" s="248" t="s">
        <v>80</v>
      </c>
      <c r="D14" s="77" t="s">
        <v>23</v>
      </c>
      <c r="E14" s="78">
        <v>16.2</v>
      </c>
      <c r="F14" s="96">
        <v>17.225999999999999</v>
      </c>
      <c r="G14" s="73">
        <v>16.2</v>
      </c>
      <c r="H14" s="73">
        <v>18</v>
      </c>
      <c r="I14" s="73" t="s">
        <v>30</v>
      </c>
      <c r="J14" s="73" t="s">
        <v>33</v>
      </c>
      <c r="K14" s="81">
        <v>46127</v>
      </c>
      <c r="L14" s="139" t="s">
        <v>52</v>
      </c>
      <c r="M14" s="82" t="s">
        <v>63</v>
      </c>
      <c r="N14" s="136" t="s">
        <v>154</v>
      </c>
      <c r="O14" s="249">
        <v>490</v>
      </c>
      <c r="P14" s="268" t="s">
        <v>57</v>
      </c>
      <c r="Q14" s="166">
        <v>0</v>
      </c>
      <c r="R14" s="292">
        <v>0</v>
      </c>
      <c r="S14" s="132">
        <f t="shared" si="1"/>
        <v>1</v>
      </c>
      <c r="T14" s="277" t="s">
        <v>149</v>
      </c>
      <c r="U14" s="84">
        <v>560.85</v>
      </c>
      <c r="V14" s="66"/>
    </row>
    <row r="15" spans="1:73">
      <c r="A15" s="70">
        <v>13</v>
      </c>
      <c r="B15" s="73">
        <v>93022379</v>
      </c>
      <c r="C15" s="119" t="s">
        <v>147</v>
      </c>
      <c r="D15" s="172" t="s">
        <v>23</v>
      </c>
      <c r="E15" s="78">
        <v>16.2</v>
      </c>
      <c r="F15" s="96">
        <v>17.225999999999999</v>
      </c>
      <c r="G15" s="73">
        <v>16.2</v>
      </c>
      <c r="H15" s="73">
        <v>18</v>
      </c>
      <c r="I15" s="73" t="s">
        <v>30</v>
      </c>
      <c r="J15" s="138" t="s">
        <v>33</v>
      </c>
      <c r="K15" s="139">
        <v>46139</v>
      </c>
      <c r="L15" s="139" t="s">
        <v>116</v>
      </c>
      <c r="M15" s="82" t="s">
        <v>27</v>
      </c>
      <c r="N15" s="136" t="s">
        <v>148</v>
      </c>
      <c r="O15" s="140">
        <v>0</v>
      </c>
      <c r="P15" s="140" t="s">
        <v>57</v>
      </c>
      <c r="Q15" s="332">
        <v>0</v>
      </c>
      <c r="R15" s="266">
        <v>0</v>
      </c>
      <c r="S15" s="250" t="s">
        <v>57</v>
      </c>
      <c r="T15" s="68"/>
      <c r="U15" s="66"/>
      <c r="V15" s="66"/>
    </row>
    <row r="16" spans="1:73" ht="120">
      <c r="A16" s="72">
        <v>14</v>
      </c>
      <c r="B16" s="201">
        <v>93028155</v>
      </c>
      <c r="C16" s="156" t="s">
        <v>67</v>
      </c>
      <c r="D16" s="244" t="s">
        <v>23</v>
      </c>
      <c r="E16" s="157">
        <v>22.5</v>
      </c>
      <c r="F16" s="99">
        <v>22.5</v>
      </c>
      <c r="G16" s="99">
        <v>22.35</v>
      </c>
      <c r="H16" s="99"/>
      <c r="I16" s="99" t="s">
        <v>32</v>
      </c>
      <c r="J16" s="99" t="s">
        <v>33</v>
      </c>
      <c r="K16" s="328">
        <v>46141</v>
      </c>
      <c r="L16" s="82" t="s">
        <v>52</v>
      </c>
      <c r="M16" s="82" t="s">
        <v>39</v>
      </c>
      <c r="N16" s="260" t="s">
        <v>40</v>
      </c>
      <c r="O16" s="315">
        <v>3380</v>
      </c>
      <c r="P16" s="268" t="s">
        <v>155</v>
      </c>
      <c r="Q16" s="165">
        <v>9335</v>
      </c>
      <c r="R16" s="292">
        <f t="shared" si="0"/>
        <v>2541.5191941192484</v>
      </c>
      <c r="S16" s="133">
        <f t="shared" si="1"/>
        <v>0.24807124434341765</v>
      </c>
      <c r="T16" s="80" t="s">
        <v>156</v>
      </c>
      <c r="U16" s="355">
        <v>684.25</v>
      </c>
      <c r="V16" s="314">
        <v>9048</v>
      </c>
    </row>
    <row r="17" spans="1:18" s="31" customFormat="1" ht="15.75">
      <c r="A17" s="141">
        <f>COUNT(A3:A16)</f>
        <v>14</v>
      </c>
      <c r="B17" s="22"/>
      <c r="E17" s="142">
        <f>SUM(E3:E16)</f>
        <v>277</v>
      </c>
      <c r="G17" s="143">
        <f>SUM(G3:G16)</f>
        <v>276.55</v>
      </c>
      <c r="H17" s="22"/>
      <c r="I17" s="22"/>
      <c r="J17" s="22"/>
      <c r="K17" s="144"/>
      <c r="L17" s="145"/>
      <c r="M17" s="145"/>
      <c r="N17" s="94"/>
      <c r="P17" s="146"/>
      <c r="Q17" s="147">
        <f>SUM(Q3:Q16)</f>
        <v>61108.75</v>
      </c>
      <c r="R17" s="145"/>
    </row>
    <row r="18" spans="1:18">
      <c r="A18" s="6" t="s">
        <v>70</v>
      </c>
      <c r="C18" s="6"/>
      <c r="D18" s="7"/>
      <c r="E18" s="8"/>
      <c r="F18" s="8"/>
      <c r="G18" s="8"/>
      <c r="H18"/>
      <c r="I18"/>
      <c r="J18"/>
      <c r="K18"/>
      <c r="M18"/>
    </row>
    <row r="19" spans="1:18">
      <c r="A19" s="6"/>
      <c r="B19" s="178"/>
      <c r="C19" s="6" t="s">
        <v>157</v>
      </c>
      <c r="D19" s="7"/>
      <c r="E19" s="8"/>
      <c r="F19" s="8"/>
      <c r="G19" s="8"/>
      <c r="H19"/>
      <c r="I19"/>
      <c r="J19"/>
      <c r="K19"/>
      <c r="L19"/>
      <c r="M19"/>
      <c r="N19"/>
    </row>
    <row r="20" spans="1:18">
      <c r="A20" s="6"/>
      <c r="C20" s="6"/>
      <c r="D20" s="7"/>
      <c r="E20" s="8"/>
      <c r="F20" s="9" t="s">
        <v>72</v>
      </c>
      <c r="G20" s="8"/>
      <c r="H20"/>
      <c r="I20"/>
      <c r="J20"/>
      <c r="K20"/>
      <c r="L20"/>
      <c r="M20"/>
      <c r="N20"/>
    </row>
    <row r="21" spans="1:18">
      <c r="A21" s="7"/>
      <c r="B21" s="8"/>
      <c r="C21" s="8"/>
      <c r="D21" s="8"/>
      <c r="F21" t="s">
        <v>73</v>
      </c>
      <c r="H21"/>
      <c r="I21"/>
      <c r="J21"/>
      <c r="K21"/>
      <c r="L21"/>
      <c r="M21"/>
      <c r="N21"/>
    </row>
    <row r="22" spans="1:18">
      <c r="A22" s="7"/>
      <c r="B22" s="8"/>
      <c r="C22" s="8"/>
      <c r="D22" s="8"/>
      <c r="F22" t="s">
        <v>74</v>
      </c>
      <c r="H22"/>
      <c r="I22"/>
      <c r="J22"/>
      <c r="K22"/>
      <c r="L22"/>
      <c r="M22"/>
      <c r="N22"/>
    </row>
    <row r="23" spans="1:18">
      <c r="A23" s="7"/>
      <c r="B23" s="8"/>
      <c r="C23" s="8"/>
      <c r="D23" s="8"/>
      <c r="F23" t="s">
        <v>75</v>
      </c>
      <c r="H23"/>
      <c r="I23"/>
      <c r="J23"/>
      <c r="K23"/>
      <c r="L23"/>
      <c r="M23"/>
      <c r="N23"/>
    </row>
    <row r="24" spans="1:18">
      <c r="F24" t="s">
        <v>76</v>
      </c>
      <c r="N24"/>
    </row>
    <row r="25" spans="1:18" ht="14.1" customHeight="1">
      <c r="A25" s="10" t="s">
        <v>77</v>
      </c>
      <c r="B25" s="10"/>
      <c r="C25" s="10"/>
      <c r="F25" t="s">
        <v>78</v>
      </c>
    </row>
    <row r="26" spans="1:18">
      <c r="B26" s="23"/>
      <c r="C26" s="312"/>
      <c r="D26" s="308"/>
      <c r="E26" s="309"/>
      <c r="F26" s="310"/>
      <c r="G26" s="311"/>
      <c r="H26" s="312"/>
      <c r="I26" s="312"/>
      <c r="J26" s="312"/>
      <c r="K26" s="312"/>
      <c r="L26" s="301"/>
      <c r="M26" s="301"/>
      <c r="N26" s="301"/>
      <c r="O26" s="301"/>
      <c r="P26" s="302"/>
    </row>
    <row r="27" spans="1:18" ht="60">
      <c r="A27" s="6"/>
      <c r="B27" s="334" t="s">
        <v>131</v>
      </c>
      <c r="C27" s="335">
        <v>92967457</v>
      </c>
      <c r="D27" s="336" t="s">
        <v>158</v>
      </c>
      <c r="E27" s="337" t="s">
        <v>23</v>
      </c>
      <c r="F27" s="338">
        <v>16.2</v>
      </c>
      <c r="G27" s="339">
        <v>17.225999999999999</v>
      </c>
      <c r="H27" s="340">
        <v>16.2</v>
      </c>
      <c r="I27" s="340">
        <v>18</v>
      </c>
      <c r="J27" s="340" t="s">
        <v>30</v>
      </c>
      <c r="K27" s="340" t="s">
        <v>33</v>
      </c>
      <c r="L27" s="341" t="s">
        <v>132</v>
      </c>
      <c r="M27" s="341">
        <v>46106</v>
      </c>
      <c r="N27" s="342" t="s">
        <v>133</v>
      </c>
      <c r="O27" s="316"/>
      <c r="P27" s="302"/>
    </row>
    <row r="28" spans="1:18">
      <c r="B28" s="7"/>
    </row>
    <row r="29" spans="1:18">
      <c r="B29" s="343" t="s">
        <v>159</v>
      </c>
      <c r="C29" s="12"/>
      <c r="D29" s="12"/>
      <c r="E29" s="12"/>
      <c r="F29" s="12"/>
      <c r="G29" s="12"/>
      <c r="H29" s="344"/>
    </row>
    <row r="30" spans="1:18">
      <c r="B30" s="182"/>
      <c r="C30" s="183"/>
      <c r="D30" s="184"/>
      <c r="E30" s="185"/>
      <c r="F30" s="186"/>
      <c r="G30" s="182"/>
      <c r="H30" s="182"/>
      <c r="I30" s="182"/>
      <c r="J30" s="182"/>
      <c r="K30" s="187"/>
      <c r="L30" s="188"/>
      <c r="M30" s="188"/>
      <c r="N30" s="188"/>
      <c r="O30" s="189"/>
      <c r="P30" s="188"/>
    </row>
    <row r="1048405" spans="3:19" s="6" customFormat="1">
      <c r="C1048405"/>
      <c r="D1048405" s="11"/>
      <c r="E1048405" s="11"/>
      <c r="F1048405" s="11"/>
      <c r="G1048405" s="11"/>
      <c r="K1048405" s="7"/>
      <c r="L1048405" s="8"/>
      <c r="M1048405" s="8"/>
      <c r="N1048405" s="8"/>
      <c r="O1048405"/>
      <c r="P1048405"/>
      <c r="Q1048405"/>
      <c r="R1048405"/>
      <c r="S1048405"/>
    </row>
  </sheetData>
  <autoFilter ref="A2:V25" xr:uid="{63321920-6B51-4EF3-828E-E82B8795E23E}"/>
  <mergeCells count="1">
    <mergeCell ref="A1:U1"/>
  </mergeCells>
  <pageMargins left="0.25" right="0.25" top="0.75" bottom="0.75" header="0.3" footer="0.3"/>
  <pageSetup paperSize="9" scale="50" fitToWidth="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E369A-BD09-48B6-BE44-C18FB9007E11}">
  <sheetPr>
    <tabColor rgb="FF92D050"/>
  </sheetPr>
  <dimension ref="A1:BU1048405"/>
  <sheetViews>
    <sheetView topLeftCell="A8" zoomScaleNormal="100" workbookViewId="0">
      <selection activeCell="B15" sqref="B15"/>
    </sheetView>
  </sheetViews>
  <sheetFormatPr defaultRowHeight="15"/>
  <cols>
    <col min="1" max="1" width="4.42578125" customWidth="1"/>
    <col min="2" max="2" width="13.140625" style="6" customWidth="1"/>
    <col min="3" max="3" width="29.28515625" customWidth="1"/>
    <col min="4" max="4" width="12.42578125" customWidth="1"/>
    <col min="5" max="5" width="8.42578125" customWidth="1"/>
    <col min="6" max="6" width="10.42578125" customWidth="1"/>
    <col min="7" max="7" width="12.42578125" customWidth="1"/>
    <col min="8" max="8" width="8.42578125" style="6" customWidth="1"/>
    <col min="9" max="9" width="10.42578125" style="6" bestFit="1" customWidth="1"/>
    <col min="10" max="10" width="10.42578125" style="6" customWidth="1"/>
    <col min="11" max="11" width="15.42578125" style="7" bestFit="1" customWidth="1"/>
    <col min="12" max="12" width="11.7109375" style="8" customWidth="1"/>
    <col min="13" max="13" width="21.42578125" style="8" customWidth="1"/>
    <col min="14" max="14" width="15" style="8" customWidth="1"/>
    <col min="15" max="15" width="14.5703125" customWidth="1"/>
    <col min="16" max="16" width="21.7109375" customWidth="1"/>
    <col min="17" max="17" width="12.42578125" customWidth="1"/>
    <col min="18" max="18" width="13.140625" customWidth="1"/>
    <col min="19" max="19" width="19.140625" customWidth="1"/>
    <col min="20" max="20" width="14" customWidth="1"/>
    <col min="21" max="21" width="9.140625" bestFit="1" customWidth="1"/>
    <col min="22" max="22" width="9.85546875" bestFit="1" customWidth="1"/>
  </cols>
  <sheetData>
    <row r="1" spans="1:73" ht="31.5" customHeight="1">
      <c r="A1" s="608" t="s">
        <v>160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87"/>
    </row>
    <row r="2" spans="1:73" ht="65.45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171" t="s">
        <v>12</v>
      </c>
      <c r="M2" s="345" t="s">
        <v>13</v>
      </c>
      <c r="N2" s="347" t="s">
        <v>14</v>
      </c>
      <c r="O2" s="346" t="s">
        <v>15</v>
      </c>
      <c r="P2" s="348" t="s">
        <v>16</v>
      </c>
      <c r="Q2" s="2" t="s">
        <v>17</v>
      </c>
      <c r="R2" s="2" t="s">
        <v>18</v>
      </c>
      <c r="S2" s="131" t="s">
        <v>19</v>
      </c>
      <c r="T2" s="3" t="s">
        <v>20</v>
      </c>
      <c r="U2" s="4" t="s">
        <v>17</v>
      </c>
      <c r="V2" s="4" t="s">
        <v>21</v>
      </c>
    </row>
    <row r="3" spans="1:73" ht="45">
      <c r="A3" s="70">
        <v>1</v>
      </c>
      <c r="B3" s="261">
        <v>93028156</v>
      </c>
      <c r="C3" s="156" t="s">
        <v>38</v>
      </c>
      <c r="D3" s="172" t="s">
        <v>23</v>
      </c>
      <c r="E3" s="157">
        <v>22.4</v>
      </c>
      <c r="F3" s="99">
        <v>22.4</v>
      </c>
      <c r="G3" s="138">
        <v>22.37</v>
      </c>
      <c r="H3" s="99"/>
      <c r="I3" s="99" t="s">
        <v>32</v>
      </c>
      <c r="J3" s="99" t="s">
        <v>33</v>
      </c>
      <c r="K3" s="81">
        <v>46143</v>
      </c>
      <c r="L3" s="139" t="s">
        <v>52</v>
      </c>
      <c r="M3" s="82" t="s">
        <v>39</v>
      </c>
      <c r="N3" s="260" t="s">
        <v>35</v>
      </c>
      <c r="O3" s="165">
        <v>4300</v>
      </c>
      <c r="P3" s="268" t="s">
        <v>161</v>
      </c>
      <c r="Q3" s="166">
        <v>9935</v>
      </c>
      <c r="R3" s="266">
        <f t="shared" ref="R3:R16" si="0">Q3/3.673</f>
        <v>2704.8734004900625</v>
      </c>
      <c r="S3" s="133">
        <f t="shared" ref="S3:S16" si="1">(O3-R3)/O3</f>
        <v>0.37095967430463661</v>
      </c>
      <c r="T3" s="264" t="s">
        <v>162</v>
      </c>
      <c r="U3" s="84">
        <v>864.25</v>
      </c>
      <c r="V3" s="66"/>
    </row>
    <row r="4" spans="1:73" ht="45">
      <c r="A4" s="70">
        <v>2</v>
      </c>
      <c r="B4" s="201">
        <v>93028203</v>
      </c>
      <c r="C4" s="156" t="s">
        <v>45</v>
      </c>
      <c r="D4" s="164" t="s">
        <v>23</v>
      </c>
      <c r="E4" s="137">
        <v>19.8</v>
      </c>
      <c r="F4" s="138">
        <v>21.053999999999998</v>
      </c>
      <c r="G4" s="138">
        <v>19.8</v>
      </c>
      <c r="H4" s="138">
        <v>22</v>
      </c>
      <c r="I4" s="138" t="s">
        <v>30</v>
      </c>
      <c r="J4" s="138" t="s">
        <v>33</v>
      </c>
      <c r="K4" s="81">
        <v>46143</v>
      </c>
      <c r="L4" s="139">
        <v>46147</v>
      </c>
      <c r="M4" s="82" t="s">
        <v>39</v>
      </c>
      <c r="N4" s="136" t="s">
        <v>46</v>
      </c>
      <c r="O4" s="165">
        <v>3700</v>
      </c>
      <c r="P4" s="270" t="s">
        <v>163</v>
      </c>
      <c r="Q4" s="271">
        <v>8520</v>
      </c>
      <c r="R4" s="274">
        <f t="shared" si="0"/>
        <v>2319.6297304655595</v>
      </c>
      <c r="S4" s="133">
        <f>(O4-R4)/O4</f>
        <v>0.37307304582011902</v>
      </c>
      <c r="T4" s="264" t="s">
        <v>164</v>
      </c>
      <c r="U4" s="84">
        <v>864.25</v>
      </c>
      <c r="V4" s="66"/>
    </row>
    <row r="5" spans="1:73" ht="45">
      <c r="A5" s="70">
        <v>3</v>
      </c>
      <c r="B5" s="201">
        <v>93028159</v>
      </c>
      <c r="C5" s="119" t="s">
        <v>31</v>
      </c>
      <c r="D5" s="77" t="s">
        <v>23</v>
      </c>
      <c r="E5" s="79">
        <v>22.4</v>
      </c>
      <c r="F5" s="85">
        <v>22.4</v>
      </c>
      <c r="G5" s="73">
        <v>22.3</v>
      </c>
      <c r="H5" s="71"/>
      <c r="I5" s="71" t="s">
        <v>32</v>
      </c>
      <c r="J5" s="73" t="s">
        <v>33</v>
      </c>
      <c r="K5" s="81">
        <v>46147</v>
      </c>
      <c r="L5" s="139">
        <v>46148</v>
      </c>
      <c r="M5" s="82" t="s">
        <v>165</v>
      </c>
      <c r="N5" s="81" t="s">
        <v>64</v>
      </c>
      <c r="O5" s="165">
        <v>600</v>
      </c>
      <c r="P5" s="270" t="s">
        <v>166</v>
      </c>
      <c r="Q5" s="165">
        <v>1102.5</v>
      </c>
      <c r="R5" s="266">
        <f t="shared" si="0"/>
        <v>300.1633542063708</v>
      </c>
      <c r="S5" s="181">
        <f t="shared" si="1"/>
        <v>0.499727742989382</v>
      </c>
      <c r="T5" s="277" t="s">
        <v>149</v>
      </c>
      <c r="U5" s="84">
        <v>560.85</v>
      </c>
      <c r="V5" s="66"/>
    </row>
    <row r="6" spans="1:73" ht="45">
      <c r="A6" s="70">
        <v>4</v>
      </c>
      <c r="B6" s="201">
        <v>93028193</v>
      </c>
      <c r="C6" s="74" t="s">
        <v>31</v>
      </c>
      <c r="D6" s="251" t="s">
        <v>23</v>
      </c>
      <c r="E6" s="78">
        <v>16.2</v>
      </c>
      <c r="F6" s="96">
        <v>17.225999999999999</v>
      </c>
      <c r="G6" s="73">
        <v>16.2</v>
      </c>
      <c r="H6" s="73">
        <v>18</v>
      </c>
      <c r="I6" s="73" t="s">
        <v>30</v>
      </c>
      <c r="J6" s="71" t="s">
        <v>33</v>
      </c>
      <c r="K6" s="252">
        <v>46149</v>
      </c>
      <c r="L6" s="139" t="s">
        <v>116</v>
      </c>
      <c r="M6" s="82" t="s">
        <v>165</v>
      </c>
      <c r="N6" s="253" t="s">
        <v>64</v>
      </c>
      <c r="O6" s="254">
        <v>500</v>
      </c>
      <c r="P6" s="270" t="s">
        <v>166</v>
      </c>
      <c r="Q6" s="165">
        <v>997.5</v>
      </c>
      <c r="R6" s="266">
        <f t="shared" si="0"/>
        <v>271.57636809147834</v>
      </c>
      <c r="S6" s="181">
        <f t="shared" si="1"/>
        <v>0.45684726381704333</v>
      </c>
      <c r="T6" s="277" t="s">
        <v>149</v>
      </c>
      <c r="U6" s="84">
        <v>560.85</v>
      </c>
      <c r="V6" s="66"/>
    </row>
    <row r="7" spans="1:73">
      <c r="A7" s="70">
        <v>5</v>
      </c>
      <c r="B7" s="163">
        <v>93039490</v>
      </c>
      <c r="C7" s="74" t="s">
        <v>54</v>
      </c>
      <c r="D7" s="172" t="s">
        <v>23</v>
      </c>
      <c r="E7" s="78">
        <v>16.2</v>
      </c>
      <c r="F7" s="96">
        <v>17.225999999999999</v>
      </c>
      <c r="G7" s="73">
        <v>16.2</v>
      </c>
      <c r="H7" s="73">
        <v>18</v>
      </c>
      <c r="I7" s="73" t="s">
        <v>30</v>
      </c>
      <c r="J7" s="138" t="s">
        <v>33</v>
      </c>
      <c r="K7" s="81">
        <v>46154</v>
      </c>
      <c r="L7" s="139" t="s">
        <v>52</v>
      </c>
      <c r="M7" s="82" t="s">
        <v>55</v>
      </c>
      <c r="N7" s="136" t="s">
        <v>56</v>
      </c>
      <c r="O7" s="140">
        <v>0</v>
      </c>
      <c r="P7" s="268" t="s">
        <v>57</v>
      </c>
      <c r="Q7" s="166">
        <v>0</v>
      </c>
      <c r="R7" s="266">
        <v>0</v>
      </c>
      <c r="S7" s="333" t="s">
        <v>57</v>
      </c>
      <c r="T7" s="65"/>
      <c r="U7" s="66"/>
      <c r="V7" s="66"/>
    </row>
    <row r="8" spans="1:73" ht="120">
      <c r="A8" s="70">
        <v>6</v>
      </c>
      <c r="B8" s="258">
        <v>93039722</v>
      </c>
      <c r="C8" s="156" t="s">
        <v>67</v>
      </c>
      <c r="D8" s="244" t="s">
        <v>23</v>
      </c>
      <c r="E8" s="157">
        <v>22.5</v>
      </c>
      <c r="F8" s="99">
        <v>22.5</v>
      </c>
      <c r="G8" s="99">
        <v>22.42</v>
      </c>
      <c r="H8" s="99"/>
      <c r="I8" s="99" t="s">
        <v>32</v>
      </c>
      <c r="J8" s="99" t="s">
        <v>33</v>
      </c>
      <c r="K8" s="81">
        <v>46154</v>
      </c>
      <c r="L8" s="139" t="s">
        <v>52</v>
      </c>
      <c r="M8" s="82" t="s">
        <v>39</v>
      </c>
      <c r="N8" s="136" t="s">
        <v>35</v>
      </c>
      <c r="O8" s="165">
        <v>4800</v>
      </c>
      <c r="P8" s="268" t="s">
        <v>167</v>
      </c>
      <c r="Q8" s="165">
        <v>9935</v>
      </c>
      <c r="R8" s="315">
        <f t="shared" si="0"/>
        <v>2704.8734004900625</v>
      </c>
      <c r="S8" s="133">
        <f t="shared" si="1"/>
        <v>0.43648470823123697</v>
      </c>
      <c r="T8" s="264" t="s">
        <v>168</v>
      </c>
      <c r="U8" s="84">
        <v>684.25</v>
      </c>
      <c r="V8" s="314">
        <v>10205</v>
      </c>
    </row>
    <row r="9" spans="1:73" ht="45">
      <c r="A9" s="70">
        <v>7</v>
      </c>
      <c r="B9" s="331">
        <v>93039730</v>
      </c>
      <c r="C9" s="156" t="s">
        <v>45</v>
      </c>
      <c r="D9" s="164" t="s">
        <v>23</v>
      </c>
      <c r="E9" s="137">
        <v>19.8</v>
      </c>
      <c r="F9" s="138">
        <v>21.053999999999998</v>
      </c>
      <c r="G9" s="138">
        <v>19.8</v>
      </c>
      <c r="H9" s="138">
        <v>22</v>
      </c>
      <c r="I9" s="138" t="s">
        <v>30</v>
      </c>
      <c r="J9" s="138" t="s">
        <v>33</v>
      </c>
      <c r="K9" s="81">
        <v>46153</v>
      </c>
      <c r="L9" s="139">
        <v>46154</v>
      </c>
      <c r="M9" s="82" t="s">
        <v>39</v>
      </c>
      <c r="N9" s="136" t="s">
        <v>46</v>
      </c>
      <c r="O9" s="165">
        <v>3700</v>
      </c>
      <c r="P9" s="268" t="s">
        <v>169</v>
      </c>
      <c r="Q9" s="166">
        <v>8720</v>
      </c>
      <c r="R9" s="315">
        <f t="shared" si="0"/>
        <v>2374.0811325891641</v>
      </c>
      <c r="S9" s="133">
        <f t="shared" si="1"/>
        <v>0.35835645065157729</v>
      </c>
      <c r="T9" s="264" t="s">
        <v>170</v>
      </c>
      <c r="U9" s="84">
        <v>864.25</v>
      </c>
      <c r="V9" s="66"/>
    </row>
    <row r="10" spans="1:73" ht="45">
      <c r="A10" s="70">
        <v>8</v>
      </c>
      <c r="B10" s="272">
        <v>93039740</v>
      </c>
      <c r="C10" s="156" t="s">
        <v>38</v>
      </c>
      <c r="D10" s="172" t="s">
        <v>23</v>
      </c>
      <c r="E10" s="157">
        <v>22.4</v>
      </c>
      <c r="F10" s="99">
        <v>22.4</v>
      </c>
      <c r="G10" s="138">
        <v>22.3</v>
      </c>
      <c r="H10" s="99"/>
      <c r="I10" s="99" t="s">
        <v>32</v>
      </c>
      <c r="J10" s="99" t="s">
        <v>33</v>
      </c>
      <c r="K10" s="81">
        <v>46153</v>
      </c>
      <c r="L10" s="139">
        <v>46154</v>
      </c>
      <c r="M10" s="82" t="s">
        <v>39</v>
      </c>
      <c r="N10" s="136" t="s">
        <v>35</v>
      </c>
      <c r="O10" s="165">
        <v>4300</v>
      </c>
      <c r="P10" s="268" t="s">
        <v>171</v>
      </c>
      <c r="Q10" s="166">
        <v>9935</v>
      </c>
      <c r="R10" s="315">
        <f t="shared" si="0"/>
        <v>2704.8734004900625</v>
      </c>
      <c r="S10" s="133">
        <f t="shared" si="1"/>
        <v>0.37095967430463661</v>
      </c>
      <c r="T10" s="80" t="s">
        <v>172</v>
      </c>
      <c r="U10" s="84">
        <v>864.25</v>
      </c>
      <c r="V10" s="66"/>
    </row>
    <row r="11" spans="1:73" ht="30">
      <c r="A11" s="70">
        <v>9</v>
      </c>
      <c r="B11" s="259">
        <v>93039757</v>
      </c>
      <c r="C11" s="248" t="s">
        <v>80</v>
      </c>
      <c r="D11" s="77" t="s">
        <v>23</v>
      </c>
      <c r="E11" s="78">
        <v>16.2</v>
      </c>
      <c r="F11" s="96">
        <v>17.225999999999999</v>
      </c>
      <c r="G11" s="73">
        <v>16.2</v>
      </c>
      <c r="H11" s="73">
        <v>18</v>
      </c>
      <c r="I11" s="73" t="s">
        <v>30</v>
      </c>
      <c r="J11" s="73" t="s">
        <v>33</v>
      </c>
      <c r="K11" s="81">
        <v>46153</v>
      </c>
      <c r="L11" s="139">
        <v>46154</v>
      </c>
      <c r="M11" s="82" t="s">
        <v>63</v>
      </c>
      <c r="N11" s="260" t="s">
        <v>64</v>
      </c>
      <c r="O11" s="249">
        <v>700</v>
      </c>
      <c r="P11" s="270" t="s">
        <v>166</v>
      </c>
      <c r="Q11" s="166">
        <v>1575</v>
      </c>
      <c r="R11" s="315">
        <f t="shared" si="0"/>
        <v>428.80479172338687</v>
      </c>
      <c r="S11" s="133">
        <f t="shared" si="1"/>
        <v>0.38742172610944731</v>
      </c>
      <c r="T11" s="262" t="s">
        <v>173</v>
      </c>
      <c r="U11" s="263">
        <v>560.85</v>
      </c>
      <c r="V11" s="69"/>
    </row>
    <row r="12" spans="1:73" s="83" customFormat="1" ht="120">
      <c r="A12" s="70">
        <v>10</v>
      </c>
      <c r="B12" s="272">
        <v>93046974</v>
      </c>
      <c r="C12" s="156" t="s">
        <v>67</v>
      </c>
      <c r="D12" s="244" t="s">
        <v>23</v>
      </c>
      <c r="E12" s="157">
        <v>22.5</v>
      </c>
      <c r="F12" s="99">
        <v>22.5</v>
      </c>
      <c r="G12" s="99">
        <v>22.32</v>
      </c>
      <c r="H12" s="99"/>
      <c r="I12" s="99" t="s">
        <v>32</v>
      </c>
      <c r="J12" s="99" t="s">
        <v>33</v>
      </c>
      <c r="K12" s="81">
        <v>46156</v>
      </c>
      <c r="L12" s="139" t="s">
        <v>52</v>
      </c>
      <c r="M12" s="82" t="s">
        <v>39</v>
      </c>
      <c r="N12" s="260" t="s">
        <v>35</v>
      </c>
      <c r="O12" s="165">
        <v>4800</v>
      </c>
      <c r="P12" s="291" t="s">
        <v>174</v>
      </c>
      <c r="Q12" s="165">
        <v>9935</v>
      </c>
      <c r="R12" s="266">
        <f t="shared" si="0"/>
        <v>2704.8734004900625</v>
      </c>
      <c r="S12" s="132">
        <f t="shared" si="1"/>
        <v>0.43648470823123697</v>
      </c>
      <c r="T12" s="80" t="s">
        <v>175</v>
      </c>
      <c r="U12" s="84">
        <v>684.25</v>
      </c>
      <c r="V12" s="84">
        <v>10205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 s="101"/>
    </row>
    <row r="13" spans="1:73" ht="30">
      <c r="A13" s="70">
        <v>11</v>
      </c>
      <c r="B13" s="258">
        <v>93046976</v>
      </c>
      <c r="C13" s="119" t="s">
        <v>31</v>
      </c>
      <c r="D13" s="77" t="s">
        <v>23</v>
      </c>
      <c r="E13" s="79">
        <v>22.4</v>
      </c>
      <c r="F13" s="85">
        <v>22.4</v>
      </c>
      <c r="G13" s="99">
        <v>22.32</v>
      </c>
      <c r="H13" s="71"/>
      <c r="I13" s="71" t="s">
        <v>32</v>
      </c>
      <c r="J13" s="73" t="s">
        <v>33</v>
      </c>
      <c r="K13" s="81">
        <v>46156</v>
      </c>
      <c r="L13" s="139" t="s">
        <v>116</v>
      </c>
      <c r="M13" s="82" t="s">
        <v>63</v>
      </c>
      <c r="N13" s="81" t="s">
        <v>64</v>
      </c>
      <c r="O13" s="165">
        <v>600</v>
      </c>
      <c r="P13" s="270" t="s">
        <v>166</v>
      </c>
      <c r="Q13" s="165">
        <v>1102.5</v>
      </c>
      <c r="R13" s="266">
        <f t="shared" si="0"/>
        <v>300.1633542063708</v>
      </c>
      <c r="S13" s="132">
        <f t="shared" si="1"/>
        <v>0.499727742989382</v>
      </c>
      <c r="T13" s="262" t="s">
        <v>173</v>
      </c>
      <c r="U13" s="263">
        <v>560.85</v>
      </c>
      <c r="V13" s="66"/>
    </row>
    <row r="14" spans="1:73" ht="30">
      <c r="A14" s="70">
        <v>12</v>
      </c>
      <c r="B14" s="261">
        <v>93046981</v>
      </c>
      <c r="C14" s="119" t="s">
        <v>31</v>
      </c>
      <c r="D14" s="77" t="s">
        <v>23</v>
      </c>
      <c r="E14" s="79">
        <v>22.4</v>
      </c>
      <c r="F14" s="85">
        <v>22.4</v>
      </c>
      <c r="G14" s="73">
        <v>22.34</v>
      </c>
      <c r="H14" s="71"/>
      <c r="I14" s="71" t="s">
        <v>32</v>
      </c>
      <c r="J14" s="73" t="s">
        <v>33</v>
      </c>
      <c r="K14" s="81">
        <v>46163</v>
      </c>
      <c r="L14" s="139" t="s">
        <v>116</v>
      </c>
      <c r="M14" s="82" t="s">
        <v>63</v>
      </c>
      <c r="N14" s="81" t="s">
        <v>64</v>
      </c>
      <c r="O14" s="165">
        <v>600</v>
      </c>
      <c r="P14" s="270" t="s">
        <v>166</v>
      </c>
      <c r="Q14" s="165">
        <v>1102.5</v>
      </c>
      <c r="R14" s="266">
        <f t="shared" si="0"/>
        <v>300.1633542063708</v>
      </c>
      <c r="S14" s="132">
        <f t="shared" si="1"/>
        <v>0.499727742989382</v>
      </c>
      <c r="T14" s="262" t="s">
        <v>173</v>
      </c>
      <c r="U14" s="263">
        <v>560.85</v>
      </c>
      <c r="V14" s="66"/>
    </row>
    <row r="15" spans="1:73" ht="45">
      <c r="A15" s="70">
        <v>13</v>
      </c>
      <c r="B15" s="272">
        <v>93046979</v>
      </c>
      <c r="C15" s="156" t="s">
        <v>45</v>
      </c>
      <c r="D15" s="164" t="s">
        <v>23</v>
      </c>
      <c r="E15" s="137">
        <v>19.8</v>
      </c>
      <c r="F15" s="138">
        <v>21.053999999999998</v>
      </c>
      <c r="G15" s="138">
        <v>19.8</v>
      </c>
      <c r="H15" s="138">
        <v>22</v>
      </c>
      <c r="I15" s="138" t="s">
        <v>30</v>
      </c>
      <c r="J15" s="138" t="s">
        <v>33</v>
      </c>
      <c r="K15" s="81">
        <v>46161</v>
      </c>
      <c r="L15" s="139">
        <v>46166</v>
      </c>
      <c r="M15" s="82" t="s">
        <v>39</v>
      </c>
      <c r="N15" s="136" t="s">
        <v>46</v>
      </c>
      <c r="O15" s="165">
        <v>3700</v>
      </c>
      <c r="P15" s="268" t="s">
        <v>176</v>
      </c>
      <c r="Q15" s="166">
        <v>8720</v>
      </c>
      <c r="R15" s="266">
        <f t="shared" si="0"/>
        <v>2374.0811325891641</v>
      </c>
      <c r="S15" s="132">
        <f t="shared" si="1"/>
        <v>0.35835645065157729</v>
      </c>
      <c r="T15" s="80" t="s">
        <v>177</v>
      </c>
      <c r="U15" s="84">
        <v>864.25</v>
      </c>
      <c r="V15" s="66"/>
    </row>
    <row r="16" spans="1:73" ht="45">
      <c r="A16" s="72">
        <v>14</v>
      </c>
      <c r="B16" s="261">
        <v>93046980</v>
      </c>
      <c r="C16" s="156" t="s">
        <v>38</v>
      </c>
      <c r="D16" s="172" t="s">
        <v>23</v>
      </c>
      <c r="E16" s="157">
        <v>22.4</v>
      </c>
      <c r="F16" s="99">
        <v>22.4</v>
      </c>
      <c r="G16" s="99">
        <v>22.31</v>
      </c>
      <c r="H16" s="99"/>
      <c r="I16" s="99" t="s">
        <v>32</v>
      </c>
      <c r="J16" s="99" t="s">
        <v>33</v>
      </c>
      <c r="K16" s="82">
        <v>46162</v>
      </c>
      <c r="L16" s="97">
        <v>46166</v>
      </c>
      <c r="M16" s="82" t="s">
        <v>39</v>
      </c>
      <c r="N16" s="260" t="s">
        <v>35</v>
      </c>
      <c r="O16" s="165">
        <v>4300</v>
      </c>
      <c r="P16" s="268" t="s">
        <v>178</v>
      </c>
      <c r="Q16" s="165">
        <v>9935</v>
      </c>
      <c r="R16" s="292">
        <f t="shared" si="0"/>
        <v>2704.8734004900625</v>
      </c>
      <c r="S16" s="133">
        <f t="shared" si="1"/>
        <v>0.37095967430463661</v>
      </c>
      <c r="T16" s="80" t="s">
        <v>179</v>
      </c>
      <c r="U16" s="84">
        <v>864.25</v>
      </c>
      <c r="V16" s="66"/>
    </row>
    <row r="17" spans="1:18" s="31" customFormat="1" ht="15.75">
      <c r="A17" s="141">
        <f>COUNT(A3:A16)</f>
        <v>14</v>
      </c>
      <c r="B17" s="22"/>
      <c r="E17" s="142">
        <f>SUM(E3:E16)</f>
        <v>287.39999999999998</v>
      </c>
      <c r="G17" s="143">
        <f>SUM(G3:G16)</f>
        <v>286.68</v>
      </c>
      <c r="H17" s="22"/>
      <c r="I17" s="22"/>
      <c r="J17" s="22"/>
      <c r="K17" s="144"/>
      <c r="L17" s="145"/>
      <c r="M17" s="145"/>
      <c r="N17" s="94"/>
      <c r="P17" s="146"/>
      <c r="Q17" s="147">
        <f>SUM(Q3:Q16)</f>
        <v>81515</v>
      </c>
      <c r="R17" s="145"/>
    </row>
    <row r="18" spans="1:18">
      <c r="A18" s="6" t="s">
        <v>70</v>
      </c>
      <c r="C18" s="6"/>
      <c r="D18" s="7"/>
      <c r="E18" s="8"/>
      <c r="F18" s="8"/>
      <c r="G18" s="8"/>
      <c r="H18"/>
      <c r="I18"/>
      <c r="J18"/>
      <c r="K18"/>
      <c r="M18"/>
    </row>
    <row r="19" spans="1:18">
      <c r="A19" s="6"/>
      <c r="B19" s="178"/>
      <c r="C19" s="6" t="s">
        <v>157</v>
      </c>
      <c r="D19" s="7"/>
      <c r="E19" s="8"/>
      <c r="F19" s="8"/>
      <c r="G19" s="8"/>
      <c r="H19"/>
      <c r="I19"/>
      <c r="J19"/>
      <c r="K19"/>
      <c r="L19"/>
      <c r="M19"/>
      <c r="N19"/>
    </row>
    <row r="20" spans="1:18">
      <c r="A20" s="6"/>
      <c r="C20" s="6"/>
      <c r="D20" s="7"/>
      <c r="E20" s="8"/>
      <c r="F20" s="9" t="s">
        <v>72</v>
      </c>
      <c r="G20" s="8"/>
      <c r="H20"/>
      <c r="I20"/>
      <c r="J20"/>
      <c r="K20"/>
      <c r="L20"/>
      <c r="M20"/>
      <c r="N20"/>
    </row>
    <row r="21" spans="1:18">
      <c r="A21" s="7"/>
      <c r="B21" s="8"/>
      <c r="C21" s="8"/>
      <c r="D21" s="8"/>
      <c r="F21" t="s">
        <v>73</v>
      </c>
      <c r="H21"/>
      <c r="I21"/>
      <c r="J21"/>
      <c r="K21"/>
      <c r="L21"/>
      <c r="M21"/>
      <c r="N21"/>
    </row>
    <row r="22" spans="1:18">
      <c r="A22" s="7"/>
      <c r="B22" s="8"/>
      <c r="C22" s="8"/>
      <c r="D22" s="8"/>
      <c r="F22" t="s">
        <v>74</v>
      </c>
      <c r="H22"/>
      <c r="I22"/>
      <c r="J22"/>
      <c r="K22"/>
      <c r="L22"/>
      <c r="M22"/>
      <c r="N22"/>
    </row>
    <row r="23" spans="1:18">
      <c r="A23" s="7"/>
      <c r="B23" s="8"/>
      <c r="C23" s="8"/>
      <c r="D23" s="8"/>
      <c r="F23" t="s">
        <v>75</v>
      </c>
      <c r="H23"/>
      <c r="I23"/>
      <c r="J23"/>
      <c r="K23"/>
      <c r="L23"/>
      <c r="M23"/>
      <c r="N23"/>
    </row>
    <row r="24" spans="1:18">
      <c r="F24" t="s">
        <v>76</v>
      </c>
      <c r="N24"/>
    </row>
    <row r="25" spans="1:18" ht="14.1" customHeight="1">
      <c r="A25" s="10" t="s">
        <v>77</v>
      </c>
      <c r="B25" s="10"/>
      <c r="C25" s="10"/>
      <c r="F25" t="s">
        <v>78</v>
      </c>
    </row>
    <row r="26" spans="1:18">
      <c r="B26" s="23"/>
      <c r="C26" s="312"/>
      <c r="D26" s="308"/>
      <c r="E26" s="309"/>
      <c r="F26" s="310"/>
      <c r="G26" s="311"/>
      <c r="H26" s="312"/>
      <c r="I26" s="312"/>
      <c r="J26" s="312"/>
      <c r="K26" s="312"/>
      <c r="L26" s="301"/>
      <c r="M26" s="301"/>
      <c r="N26" s="301"/>
      <c r="O26" s="301"/>
      <c r="P26" s="302"/>
    </row>
    <row r="27" spans="1:18">
      <c r="A27" s="6"/>
      <c r="B27" s="18"/>
      <c r="C27" s="18" t="s">
        <v>180</v>
      </c>
      <c r="D27" s="350"/>
      <c r="E27" s="309"/>
      <c r="F27" s="310"/>
      <c r="G27" s="311"/>
      <c r="H27" s="312"/>
      <c r="I27" s="312"/>
      <c r="J27" s="312"/>
      <c r="K27" s="312"/>
      <c r="L27" s="301"/>
      <c r="M27" s="301"/>
      <c r="N27" s="301"/>
      <c r="O27" s="316"/>
      <c r="P27" s="302"/>
    </row>
    <row r="28" spans="1:18">
      <c r="B28" s="7"/>
    </row>
    <row r="29" spans="1:18" ht="30">
      <c r="B29" s="334" t="s">
        <v>131</v>
      </c>
      <c r="C29" s="99">
        <v>92971894</v>
      </c>
      <c r="D29" s="156" t="s">
        <v>90</v>
      </c>
      <c r="E29" s="244" t="s">
        <v>23</v>
      </c>
      <c r="F29" s="157">
        <v>16</v>
      </c>
      <c r="G29" s="99">
        <v>17.404</v>
      </c>
      <c r="H29" s="99">
        <v>16</v>
      </c>
      <c r="I29" s="99">
        <v>80</v>
      </c>
      <c r="J29" s="99" t="s">
        <v>24</v>
      </c>
      <c r="K29" s="99" t="s">
        <v>33</v>
      </c>
      <c r="L29" s="82" t="s">
        <v>132</v>
      </c>
      <c r="M29" s="82" t="s">
        <v>52</v>
      </c>
      <c r="N29" s="82" t="s">
        <v>133</v>
      </c>
    </row>
    <row r="30" spans="1:18">
      <c r="B30" s="182"/>
      <c r="C30" s="183"/>
      <c r="D30" s="184"/>
      <c r="E30" s="185"/>
      <c r="F30" s="186"/>
      <c r="G30" s="182"/>
      <c r="H30" s="182"/>
      <c r="I30" s="182"/>
      <c r="J30" s="182"/>
      <c r="K30" s="187"/>
      <c r="L30" s="188"/>
      <c r="M30" s="188"/>
      <c r="N30" s="188"/>
      <c r="O30" s="189"/>
      <c r="P30" s="188"/>
    </row>
    <row r="1048405" spans="3:19" s="6" customFormat="1">
      <c r="C1048405"/>
      <c r="D1048405" s="11"/>
      <c r="E1048405" s="11"/>
      <c r="F1048405" s="11"/>
      <c r="G1048405" s="11"/>
      <c r="K1048405" s="7"/>
      <c r="L1048405" s="8"/>
      <c r="M1048405" s="8"/>
      <c r="N1048405" s="8"/>
      <c r="O1048405"/>
      <c r="P1048405"/>
      <c r="Q1048405"/>
      <c r="R1048405"/>
      <c r="S1048405"/>
    </row>
  </sheetData>
  <autoFilter ref="A2:V25" xr:uid="{63321920-6B51-4EF3-828E-E82B8795E23E}"/>
  <mergeCells count="1">
    <mergeCell ref="A1:U1"/>
  </mergeCells>
  <pageMargins left="0.25" right="0.25" top="0.75" bottom="0.75" header="0.3" footer="0.3"/>
  <pageSetup paperSize="9" scale="53" fitToWidth="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8CAE-E528-4378-8AFA-D7D7F155158B}">
  <sheetPr>
    <tabColor rgb="FF92D050"/>
  </sheetPr>
  <dimension ref="A1:BU1048404"/>
  <sheetViews>
    <sheetView zoomScale="80" zoomScaleNormal="80" workbookViewId="0">
      <selection activeCell="C3" sqref="C3:C15"/>
    </sheetView>
  </sheetViews>
  <sheetFormatPr defaultRowHeight="15"/>
  <cols>
    <col min="1" max="1" width="4.42578125" customWidth="1"/>
    <col min="2" max="2" width="13.140625" style="6" customWidth="1"/>
    <col min="3" max="3" width="29.28515625" customWidth="1"/>
    <col min="4" max="4" width="12.42578125" customWidth="1"/>
    <col min="5" max="5" width="8.42578125" customWidth="1"/>
    <col min="6" max="6" width="10.42578125" customWidth="1"/>
    <col min="7" max="7" width="12.42578125" customWidth="1"/>
    <col min="8" max="8" width="8.42578125" style="6" customWidth="1"/>
    <col min="9" max="9" width="10.42578125" style="6" bestFit="1" customWidth="1"/>
    <col min="10" max="10" width="10.42578125" style="6" customWidth="1"/>
    <col min="11" max="11" width="15.42578125" style="7" bestFit="1" customWidth="1"/>
    <col min="12" max="12" width="11.7109375" style="8" customWidth="1"/>
    <col min="13" max="13" width="21.42578125" style="8" customWidth="1"/>
    <col min="14" max="14" width="15.85546875" style="8" customWidth="1"/>
    <col min="15" max="15" width="14.5703125" customWidth="1"/>
    <col min="16" max="16" width="21.7109375" customWidth="1"/>
    <col min="17" max="17" width="12.42578125" customWidth="1"/>
    <col min="18" max="18" width="13.140625" customWidth="1"/>
    <col min="19" max="19" width="19.140625" customWidth="1"/>
    <col min="20" max="20" width="14" customWidth="1"/>
    <col min="21" max="21" width="9.140625" bestFit="1" customWidth="1"/>
  </cols>
  <sheetData>
    <row r="1" spans="1:73" ht="31.5" customHeight="1">
      <c r="A1" s="608" t="s">
        <v>181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87"/>
    </row>
    <row r="2" spans="1:73" ht="65.45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171" t="s">
        <v>12</v>
      </c>
      <c r="M2" s="345" t="s">
        <v>13</v>
      </c>
      <c r="N2" s="347" t="s">
        <v>14</v>
      </c>
      <c r="O2" s="346" t="s">
        <v>15</v>
      </c>
      <c r="P2" s="348" t="s">
        <v>16</v>
      </c>
      <c r="Q2" s="2" t="s">
        <v>17</v>
      </c>
      <c r="R2" s="2" t="s">
        <v>18</v>
      </c>
      <c r="S2" s="131" t="s">
        <v>19</v>
      </c>
      <c r="T2" s="3" t="s">
        <v>20</v>
      </c>
      <c r="U2" s="4" t="s">
        <v>17</v>
      </c>
      <c r="V2" s="4" t="s">
        <v>21</v>
      </c>
    </row>
    <row r="3" spans="1:73" ht="30">
      <c r="A3" s="70">
        <v>1</v>
      </c>
      <c r="B3" s="261">
        <v>93067902</v>
      </c>
      <c r="C3" s="156" t="s">
        <v>31</v>
      </c>
      <c r="D3" s="172" t="s">
        <v>23</v>
      </c>
      <c r="E3" s="157">
        <v>22.4</v>
      </c>
      <c r="F3" s="99">
        <v>22.4</v>
      </c>
      <c r="G3" s="138">
        <v>22.33</v>
      </c>
      <c r="H3" s="99"/>
      <c r="I3" s="99" t="s">
        <v>32</v>
      </c>
      <c r="J3" s="99" t="s">
        <v>33</v>
      </c>
      <c r="K3" s="81">
        <v>46181</v>
      </c>
      <c r="L3" s="139">
        <v>46181</v>
      </c>
      <c r="M3" s="82" t="s">
        <v>63</v>
      </c>
      <c r="N3" s="260" t="s">
        <v>64</v>
      </c>
      <c r="O3" s="165">
        <v>600</v>
      </c>
      <c r="P3" s="268" t="s">
        <v>182</v>
      </c>
      <c r="Q3" s="166">
        <v>1102.5</v>
      </c>
      <c r="R3" s="292">
        <f t="shared" ref="R3:R6" si="0">Q3/3.673</f>
        <v>300.1633542063708</v>
      </c>
      <c r="S3" s="306">
        <f t="shared" ref="S3:S14" si="1">(O3-R3)/O3</f>
        <v>0.499727742989382</v>
      </c>
      <c r="T3" s="264" t="s">
        <v>183</v>
      </c>
      <c r="U3" s="84">
        <v>560.85</v>
      </c>
      <c r="V3" s="66"/>
    </row>
    <row r="4" spans="1:73" ht="30">
      <c r="A4" s="70">
        <v>2</v>
      </c>
      <c r="B4" s="201">
        <v>93067909</v>
      </c>
      <c r="C4" s="156" t="s">
        <v>31</v>
      </c>
      <c r="D4" s="172" t="s">
        <v>23</v>
      </c>
      <c r="E4" s="157">
        <v>22.4</v>
      </c>
      <c r="F4" s="99">
        <v>22.4</v>
      </c>
      <c r="G4" s="138">
        <v>22.38</v>
      </c>
      <c r="H4" s="99"/>
      <c r="I4" s="99" t="s">
        <v>32</v>
      </c>
      <c r="J4" s="99" t="s">
        <v>33</v>
      </c>
      <c r="K4" s="81">
        <v>46158</v>
      </c>
      <c r="L4" s="81">
        <v>46190</v>
      </c>
      <c r="M4" s="82" t="s">
        <v>63</v>
      </c>
      <c r="N4" s="260" t="s">
        <v>64</v>
      </c>
      <c r="O4" s="165">
        <v>600</v>
      </c>
      <c r="P4" s="268" t="s">
        <v>182</v>
      </c>
      <c r="Q4" s="166">
        <v>1102.5</v>
      </c>
      <c r="R4" s="274">
        <f t="shared" si="0"/>
        <v>300.1633542063708</v>
      </c>
      <c r="S4" s="250">
        <f>(O4-R4)/O4</f>
        <v>0.499727742989382</v>
      </c>
      <c r="T4" s="264" t="s">
        <v>183</v>
      </c>
      <c r="U4" s="84">
        <v>560.85</v>
      </c>
      <c r="V4" s="66"/>
    </row>
    <row r="5" spans="1:73" ht="30">
      <c r="A5" s="70">
        <v>3</v>
      </c>
      <c r="B5" s="201">
        <v>93078824</v>
      </c>
      <c r="C5" s="248" t="s">
        <v>80</v>
      </c>
      <c r="D5" s="77" t="s">
        <v>23</v>
      </c>
      <c r="E5" s="78">
        <v>16.2</v>
      </c>
      <c r="F5" s="96">
        <v>17.225999999999999</v>
      </c>
      <c r="G5" s="73">
        <v>16.2</v>
      </c>
      <c r="H5" s="73">
        <v>18</v>
      </c>
      <c r="I5" s="73" t="s">
        <v>30</v>
      </c>
      <c r="J5" s="73" t="s">
        <v>33</v>
      </c>
      <c r="K5" s="81">
        <v>46183</v>
      </c>
      <c r="L5" s="139">
        <v>46182</v>
      </c>
      <c r="M5" s="82" t="s">
        <v>63</v>
      </c>
      <c r="N5" s="260" t="s">
        <v>154</v>
      </c>
      <c r="O5" s="249">
        <v>700</v>
      </c>
      <c r="P5" s="366" t="s">
        <v>57</v>
      </c>
      <c r="Q5" s="165">
        <v>0</v>
      </c>
      <c r="R5" s="367">
        <f t="shared" ref="R5" si="2">Q5/3.673</f>
        <v>0</v>
      </c>
      <c r="S5" s="306" t="s">
        <v>57</v>
      </c>
      <c r="T5" s="264" t="s">
        <v>183</v>
      </c>
      <c r="U5" s="84">
        <v>560.85</v>
      </c>
      <c r="V5" s="66"/>
    </row>
    <row r="6" spans="1:73" ht="45">
      <c r="A6" s="70">
        <v>4</v>
      </c>
      <c r="B6" s="201">
        <v>93076922</v>
      </c>
      <c r="C6" s="156" t="s">
        <v>58</v>
      </c>
      <c r="D6" s="164" t="s">
        <v>23</v>
      </c>
      <c r="E6" s="137">
        <v>22.4</v>
      </c>
      <c r="F6" s="138">
        <v>22.4</v>
      </c>
      <c r="G6" s="138">
        <v>22.32</v>
      </c>
      <c r="H6" s="138"/>
      <c r="I6" s="138" t="s">
        <v>32</v>
      </c>
      <c r="J6" s="138" t="s">
        <v>33</v>
      </c>
      <c r="K6" s="81">
        <v>46181</v>
      </c>
      <c r="L6" s="139">
        <v>46182</v>
      </c>
      <c r="M6" s="82" t="s">
        <v>39</v>
      </c>
      <c r="N6" s="260" t="s">
        <v>40</v>
      </c>
      <c r="O6" s="165">
        <v>2150</v>
      </c>
      <c r="P6" s="273" t="s">
        <v>184</v>
      </c>
      <c r="Q6" s="298">
        <v>4610.5</v>
      </c>
      <c r="R6" s="274">
        <f t="shared" si="0"/>
        <v>1255.240947454397</v>
      </c>
      <c r="S6" s="306">
        <f t="shared" si="1"/>
        <v>0.41616700118400141</v>
      </c>
      <c r="T6" s="277" t="s">
        <v>185</v>
      </c>
      <c r="U6" s="84">
        <v>794.25</v>
      </c>
      <c r="V6" s="66"/>
    </row>
    <row r="7" spans="1:73">
      <c r="A7" s="70">
        <v>5</v>
      </c>
      <c r="B7" s="163">
        <v>93092333</v>
      </c>
      <c r="C7" s="74" t="s">
        <v>54</v>
      </c>
      <c r="D7" s="172" t="s">
        <v>23</v>
      </c>
      <c r="E7" s="78">
        <v>16.2</v>
      </c>
      <c r="F7" s="96">
        <v>17.225999999999999</v>
      </c>
      <c r="G7" s="73">
        <v>16.2</v>
      </c>
      <c r="H7" s="71">
        <v>18</v>
      </c>
      <c r="I7" s="71" t="s">
        <v>30</v>
      </c>
      <c r="J7" s="138" t="s">
        <v>33</v>
      </c>
      <c r="K7" s="81">
        <v>46158</v>
      </c>
      <c r="L7" s="139">
        <v>46188</v>
      </c>
      <c r="M7" s="82" t="s">
        <v>148</v>
      </c>
      <c r="N7" s="136" t="s">
        <v>56</v>
      </c>
      <c r="O7" s="140">
        <v>0</v>
      </c>
      <c r="P7" s="268" t="s">
        <v>57</v>
      </c>
      <c r="Q7" s="166">
        <v>0</v>
      </c>
      <c r="R7" s="266">
        <v>0</v>
      </c>
      <c r="S7" s="368" t="s">
        <v>57</v>
      </c>
      <c r="T7" s="65"/>
      <c r="U7" s="66"/>
      <c r="V7" s="66"/>
    </row>
    <row r="8" spans="1:73" ht="30">
      <c r="A8" s="70">
        <v>6</v>
      </c>
      <c r="B8" s="258">
        <v>93094510</v>
      </c>
      <c r="C8" s="156" t="s">
        <v>31</v>
      </c>
      <c r="D8" s="172" t="s">
        <v>23</v>
      </c>
      <c r="E8" s="157">
        <v>22.4</v>
      </c>
      <c r="F8" s="99">
        <v>22.4</v>
      </c>
      <c r="G8" s="138">
        <v>22.38</v>
      </c>
      <c r="H8" s="99"/>
      <c r="I8" s="99" t="s">
        <v>32</v>
      </c>
      <c r="J8" s="99" t="s">
        <v>33</v>
      </c>
      <c r="K8" s="82">
        <v>46198</v>
      </c>
      <c r="L8" s="139">
        <v>46198</v>
      </c>
      <c r="M8" s="82" t="s">
        <v>63</v>
      </c>
      <c r="N8" s="260" t="s">
        <v>64</v>
      </c>
      <c r="O8" s="165">
        <v>600</v>
      </c>
      <c r="P8" s="268" t="s">
        <v>182</v>
      </c>
      <c r="Q8" s="166">
        <v>1102.5</v>
      </c>
      <c r="R8" s="315">
        <f>Q8/3.673</f>
        <v>300.1633542063708</v>
      </c>
      <c r="S8" s="133">
        <f t="shared" si="1"/>
        <v>0.499727742989382</v>
      </c>
      <c r="T8" s="264" t="s">
        <v>183</v>
      </c>
      <c r="U8" s="84">
        <v>560.85</v>
      </c>
      <c r="V8" s="66"/>
    </row>
    <row r="9" spans="1:73" ht="30">
      <c r="A9" s="70">
        <v>7</v>
      </c>
      <c r="B9" s="377">
        <v>93095845</v>
      </c>
      <c r="C9" s="156" t="s">
        <v>139</v>
      </c>
      <c r="D9" s="164" t="s">
        <v>23</v>
      </c>
      <c r="E9" s="157">
        <v>16</v>
      </c>
      <c r="F9" s="265">
        <v>17.404</v>
      </c>
      <c r="G9" s="138">
        <v>16</v>
      </c>
      <c r="H9" s="138">
        <v>80</v>
      </c>
      <c r="I9" s="138" t="s">
        <v>24</v>
      </c>
      <c r="J9" s="138" t="s">
        <v>33</v>
      </c>
      <c r="K9" s="82" t="s">
        <v>132</v>
      </c>
      <c r="L9" s="82" t="s">
        <v>52</v>
      </c>
      <c r="M9" s="82" t="s">
        <v>63</v>
      </c>
      <c r="N9" s="81" t="s">
        <v>154</v>
      </c>
      <c r="O9" s="307">
        <v>630</v>
      </c>
      <c r="P9" s="268" t="s">
        <v>57</v>
      </c>
      <c r="Q9" s="166">
        <v>0</v>
      </c>
      <c r="R9" s="315">
        <f t="shared" ref="R9:R10" si="3">Q9/3.673</f>
        <v>0</v>
      </c>
      <c r="S9" s="250" t="s">
        <v>57</v>
      </c>
      <c r="T9" s="262" t="s">
        <v>186</v>
      </c>
      <c r="U9" s="263">
        <v>450.85</v>
      </c>
      <c r="V9" s="263">
        <v>5579</v>
      </c>
    </row>
    <row r="10" spans="1:73" s="83" customFormat="1" ht="30">
      <c r="A10" s="70">
        <v>8</v>
      </c>
      <c r="B10" s="376">
        <v>93102217</v>
      </c>
      <c r="C10" s="248" t="s">
        <v>80</v>
      </c>
      <c r="D10" s="77" t="s">
        <v>23</v>
      </c>
      <c r="E10" s="78">
        <v>16.2</v>
      </c>
      <c r="F10" s="96">
        <v>17.225999999999999</v>
      </c>
      <c r="G10" s="73">
        <v>16.2</v>
      </c>
      <c r="H10" s="73">
        <v>18</v>
      </c>
      <c r="I10" s="73" t="s">
        <v>30</v>
      </c>
      <c r="J10" s="73" t="s">
        <v>33</v>
      </c>
      <c r="K10" s="81">
        <v>46195</v>
      </c>
      <c r="L10" s="139">
        <v>46196</v>
      </c>
      <c r="M10" s="81" t="s">
        <v>63</v>
      </c>
      <c r="N10" s="260" t="s">
        <v>154</v>
      </c>
      <c r="O10" s="249">
        <v>700</v>
      </c>
      <c r="P10" s="366" t="s">
        <v>57</v>
      </c>
      <c r="Q10" s="165">
        <v>0</v>
      </c>
      <c r="R10" s="367">
        <f t="shared" si="3"/>
        <v>0</v>
      </c>
      <c r="S10" s="306" t="s">
        <v>57</v>
      </c>
      <c r="T10" s="264" t="s">
        <v>183</v>
      </c>
      <c r="U10" s="84">
        <v>560.85</v>
      </c>
      <c r="V10" s="66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 s="101"/>
    </row>
    <row r="11" spans="1:73">
      <c r="A11" s="70">
        <v>9</v>
      </c>
      <c r="B11" s="163">
        <v>93106202</v>
      </c>
      <c r="C11" s="74" t="s">
        <v>54</v>
      </c>
      <c r="D11" s="172" t="s">
        <v>23</v>
      </c>
      <c r="E11" s="78">
        <v>16.2</v>
      </c>
      <c r="F11" s="96">
        <v>17.225999999999999</v>
      </c>
      <c r="G11" s="73">
        <v>16.2</v>
      </c>
      <c r="H11" s="71">
        <v>18</v>
      </c>
      <c r="I11" s="71" t="s">
        <v>30</v>
      </c>
      <c r="J11" s="138" t="s">
        <v>33</v>
      </c>
      <c r="K11" s="81">
        <v>46199</v>
      </c>
      <c r="L11" s="139">
        <v>46198</v>
      </c>
      <c r="M11" s="82" t="s">
        <v>148</v>
      </c>
      <c r="N11" s="136" t="s">
        <v>56</v>
      </c>
      <c r="O11" s="140">
        <v>0</v>
      </c>
      <c r="P11" s="268" t="s">
        <v>57</v>
      </c>
      <c r="Q11" s="166">
        <v>0</v>
      </c>
      <c r="R11" s="274">
        <v>0</v>
      </c>
      <c r="S11" s="306" t="s">
        <v>57</v>
      </c>
      <c r="T11" s="134"/>
      <c r="U11" s="66"/>
      <c r="V11" s="66"/>
    </row>
    <row r="12" spans="1:73">
      <c r="A12" s="70">
        <v>10</v>
      </c>
      <c r="B12" s="163">
        <v>93094268</v>
      </c>
      <c r="C12" s="156" t="s">
        <v>90</v>
      </c>
      <c r="D12" s="172" t="s">
        <v>23</v>
      </c>
      <c r="E12" s="157">
        <v>16</v>
      </c>
      <c r="F12" s="99">
        <v>17.404</v>
      </c>
      <c r="G12" s="163">
        <v>16</v>
      </c>
      <c r="H12" s="99">
        <v>80</v>
      </c>
      <c r="I12" s="99" t="s">
        <v>24</v>
      </c>
      <c r="J12" s="99" t="s">
        <v>33</v>
      </c>
      <c r="K12" s="82">
        <v>46202</v>
      </c>
      <c r="L12" s="82" t="s">
        <v>52</v>
      </c>
      <c r="M12" s="82" t="s">
        <v>148</v>
      </c>
      <c r="N12" s="82" t="s">
        <v>187</v>
      </c>
      <c r="O12" s="140">
        <v>0</v>
      </c>
      <c r="P12" s="268" t="s">
        <v>57</v>
      </c>
      <c r="Q12" s="166">
        <v>0</v>
      </c>
      <c r="R12" s="274">
        <v>0</v>
      </c>
      <c r="S12" s="306" t="s">
        <v>57</v>
      </c>
      <c r="T12" s="134"/>
      <c r="U12" s="66"/>
      <c r="V12" s="66"/>
    </row>
    <row r="13" spans="1:73" ht="45">
      <c r="A13" s="70">
        <v>11</v>
      </c>
      <c r="B13" s="261">
        <v>93106364</v>
      </c>
      <c r="C13" s="156" t="s">
        <v>58</v>
      </c>
      <c r="D13" s="164" t="s">
        <v>23</v>
      </c>
      <c r="E13" s="137">
        <v>22.4</v>
      </c>
      <c r="F13" s="138">
        <v>22.4</v>
      </c>
      <c r="G13" s="138">
        <v>22.35</v>
      </c>
      <c r="H13" s="138"/>
      <c r="I13" s="138" t="s">
        <v>32</v>
      </c>
      <c r="J13" s="138" t="s">
        <v>33</v>
      </c>
      <c r="K13" s="82">
        <v>46203</v>
      </c>
      <c r="L13" s="97">
        <v>46204</v>
      </c>
      <c r="M13" s="82" t="s">
        <v>39</v>
      </c>
      <c r="N13" s="260" t="s">
        <v>40</v>
      </c>
      <c r="O13" s="165">
        <v>2150</v>
      </c>
      <c r="P13" s="273" t="s">
        <v>188</v>
      </c>
      <c r="Q13" s="298">
        <v>4631.5</v>
      </c>
      <c r="R13" s="274">
        <f t="shared" ref="R13" si="4">Q13/3.673</f>
        <v>1260.9583446773754</v>
      </c>
      <c r="S13" s="375">
        <f t="shared" ref="S13" si="5">(O13-R13)/O13</f>
        <v>0.41350774666168588</v>
      </c>
      <c r="T13" s="80" t="s">
        <v>189</v>
      </c>
      <c r="U13" s="84">
        <v>794.25</v>
      </c>
      <c r="V13" s="66"/>
    </row>
    <row r="14" spans="1:73" ht="105">
      <c r="A14" s="70">
        <v>12</v>
      </c>
      <c r="B14" s="257">
        <v>93107806</v>
      </c>
      <c r="C14" s="373" t="s">
        <v>67</v>
      </c>
      <c r="D14" s="374" t="s">
        <v>23</v>
      </c>
      <c r="E14" s="137">
        <v>22.5</v>
      </c>
      <c r="F14" s="138">
        <v>22.5</v>
      </c>
      <c r="G14" s="138">
        <v>22.45</v>
      </c>
      <c r="H14" s="138"/>
      <c r="I14" s="138" t="s">
        <v>32</v>
      </c>
      <c r="J14" s="138" t="s">
        <v>33</v>
      </c>
      <c r="K14" s="81">
        <v>46198</v>
      </c>
      <c r="L14" s="139" t="s">
        <v>52</v>
      </c>
      <c r="M14" s="81" t="s">
        <v>190</v>
      </c>
      <c r="N14" s="136" t="s">
        <v>35</v>
      </c>
      <c r="O14" s="243">
        <v>4800</v>
      </c>
      <c r="P14" s="140" t="s">
        <v>191</v>
      </c>
      <c r="Q14" s="332">
        <v>9935</v>
      </c>
      <c r="R14" s="292">
        <f>Q14/3.673</f>
        <v>2704.8734004900625</v>
      </c>
      <c r="S14" s="132">
        <f t="shared" si="1"/>
        <v>0.43648470823123697</v>
      </c>
      <c r="T14" s="262" t="s">
        <v>192</v>
      </c>
      <c r="U14" s="84">
        <v>684.25</v>
      </c>
      <c r="V14" s="314">
        <v>8965</v>
      </c>
    </row>
    <row r="15" spans="1:73" ht="105">
      <c r="A15" s="72">
        <v>13</v>
      </c>
      <c r="B15" s="261">
        <v>93107808</v>
      </c>
      <c r="C15" s="156" t="s">
        <v>67</v>
      </c>
      <c r="D15" s="244" t="s">
        <v>23</v>
      </c>
      <c r="E15" s="157">
        <v>22.5</v>
      </c>
      <c r="F15" s="99">
        <v>22.5</v>
      </c>
      <c r="G15" s="99">
        <v>22.45</v>
      </c>
      <c r="H15" s="99"/>
      <c r="I15" s="99" t="s">
        <v>32</v>
      </c>
      <c r="J15" s="99" t="s">
        <v>33</v>
      </c>
      <c r="K15" s="82">
        <v>46198</v>
      </c>
      <c r="L15" s="97" t="s">
        <v>52</v>
      </c>
      <c r="M15" s="82" t="s">
        <v>39</v>
      </c>
      <c r="N15" s="260" t="s">
        <v>35</v>
      </c>
      <c r="O15" s="165">
        <v>4800</v>
      </c>
      <c r="P15" s="268" t="s">
        <v>193</v>
      </c>
      <c r="Q15" s="165">
        <v>9935</v>
      </c>
      <c r="R15" s="292">
        <f>Q15/3.673</f>
        <v>2704.8734004900625</v>
      </c>
      <c r="S15" s="133">
        <f>(O15-R15)/O15</f>
        <v>0.43648470823123697</v>
      </c>
      <c r="T15" s="80" t="s">
        <v>194</v>
      </c>
      <c r="U15" s="84">
        <v>684.25</v>
      </c>
      <c r="V15" s="314">
        <v>8965</v>
      </c>
    </row>
    <row r="16" spans="1:73" s="31" customFormat="1" ht="16.5" thickBot="1">
      <c r="A16" s="141">
        <f>COUNT(A3:A15)</f>
        <v>13</v>
      </c>
      <c r="B16" s="22"/>
      <c r="E16" s="142">
        <f>SUM(E3:E15)</f>
        <v>253.79999999999998</v>
      </c>
      <c r="G16" s="143">
        <f>SUM(G3:G15)</f>
        <v>253.45999999999995</v>
      </c>
      <c r="H16" s="22"/>
      <c r="I16" s="22"/>
      <c r="J16" s="22"/>
      <c r="K16" s="144"/>
      <c r="L16" s="145"/>
      <c r="M16" s="145"/>
      <c r="N16" s="94"/>
      <c r="P16" s="146"/>
      <c r="Q16" s="147">
        <f>SUM(Q3:Q15)</f>
        <v>32419.5</v>
      </c>
      <c r="R16" s="145"/>
    </row>
    <row r="17" spans="1:16">
      <c r="A17" s="6" t="s">
        <v>70</v>
      </c>
      <c r="C17" s="6"/>
      <c r="D17" s="7"/>
      <c r="E17" s="8"/>
      <c r="F17" s="8"/>
      <c r="G17" s="8"/>
      <c r="H17"/>
      <c r="I17"/>
      <c r="J17"/>
      <c r="K17"/>
      <c r="M17"/>
    </row>
    <row r="18" spans="1:16">
      <c r="A18" s="6"/>
      <c r="B18" s="178"/>
      <c r="C18" s="6" t="s">
        <v>157</v>
      </c>
      <c r="D18" s="7"/>
      <c r="E18" s="8"/>
      <c r="F18" s="8"/>
      <c r="G18" s="8"/>
      <c r="H18"/>
      <c r="I18"/>
      <c r="J18"/>
      <c r="K18"/>
      <c r="L18"/>
      <c r="M18"/>
      <c r="N18"/>
    </row>
    <row r="19" spans="1:16">
      <c r="A19" s="6"/>
      <c r="C19" s="6"/>
      <c r="D19" s="7"/>
      <c r="E19" s="8"/>
      <c r="F19" s="9" t="s">
        <v>72</v>
      </c>
      <c r="G19" s="8"/>
      <c r="H19"/>
      <c r="I19"/>
      <c r="J19"/>
      <c r="K19"/>
      <c r="L19"/>
      <c r="M19"/>
      <c r="N19"/>
    </row>
    <row r="20" spans="1:16">
      <c r="A20" s="7"/>
      <c r="B20" s="8"/>
      <c r="C20" s="8"/>
      <c r="D20" s="8"/>
      <c r="F20" t="s">
        <v>73</v>
      </c>
      <c r="H20"/>
      <c r="I20"/>
      <c r="J20"/>
      <c r="K20"/>
      <c r="L20"/>
      <c r="M20"/>
      <c r="N20"/>
    </row>
    <row r="21" spans="1:16">
      <c r="A21" s="7"/>
      <c r="B21" s="8"/>
      <c r="C21" s="8"/>
      <c r="D21" s="8"/>
      <c r="F21" t="s">
        <v>74</v>
      </c>
      <c r="H21"/>
      <c r="I21"/>
      <c r="J21"/>
      <c r="K21"/>
      <c r="L21"/>
      <c r="M21"/>
      <c r="N21"/>
    </row>
    <row r="22" spans="1:16">
      <c r="A22" s="7"/>
      <c r="B22" s="8"/>
      <c r="C22" s="8"/>
      <c r="D22" s="8"/>
      <c r="F22" t="s">
        <v>75</v>
      </c>
      <c r="H22"/>
      <c r="I22"/>
      <c r="J22"/>
      <c r="K22"/>
      <c r="L22"/>
      <c r="M22"/>
      <c r="N22"/>
    </row>
    <row r="23" spans="1:16">
      <c r="F23" t="s">
        <v>76</v>
      </c>
      <c r="N23"/>
    </row>
    <row r="24" spans="1:16" ht="14.1" customHeight="1">
      <c r="A24" s="10" t="s">
        <v>77</v>
      </c>
      <c r="B24" s="10"/>
      <c r="C24" s="10"/>
      <c r="F24" t="s">
        <v>78</v>
      </c>
    </row>
    <row r="25" spans="1:16">
      <c r="B25" s="23"/>
      <c r="C25" s="312"/>
      <c r="D25" s="308"/>
      <c r="E25" s="309"/>
      <c r="F25" s="310"/>
      <c r="G25" s="311"/>
      <c r="H25" s="312"/>
      <c r="I25" s="312"/>
      <c r="J25" s="312"/>
      <c r="K25" s="312"/>
      <c r="L25" s="301"/>
      <c r="M25" s="301"/>
      <c r="N25" s="301"/>
      <c r="O25" s="301"/>
      <c r="P25" s="302"/>
    </row>
    <row r="26" spans="1:16">
      <c r="A26" s="6"/>
      <c r="B26" s="378" t="s">
        <v>195</v>
      </c>
      <c r="C26" s="378"/>
      <c r="D26" s="378"/>
      <c r="E26" s="370"/>
      <c r="F26" s="310"/>
      <c r="G26" s="311"/>
      <c r="H26" s="312"/>
      <c r="I26" s="312"/>
      <c r="J26" s="312"/>
      <c r="K26" s="312"/>
      <c r="L26" s="301"/>
      <c r="M26" s="301"/>
      <c r="N26" s="301"/>
      <c r="O26" s="316"/>
      <c r="P26" s="302"/>
    </row>
    <row r="27" spans="1:16">
      <c r="B27" s="378" t="s">
        <v>196</v>
      </c>
      <c r="C27" s="12"/>
      <c r="D27" s="12"/>
    </row>
    <row r="28" spans="1:16">
      <c r="B28" s="7"/>
    </row>
    <row r="29" spans="1:16">
      <c r="B29" s="182"/>
      <c r="C29" s="183"/>
      <c r="D29" s="184"/>
      <c r="E29" s="185"/>
      <c r="F29" s="186"/>
      <c r="G29" s="182"/>
      <c r="H29" s="182"/>
      <c r="I29" s="182"/>
      <c r="J29" s="182"/>
      <c r="K29" s="187"/>
      <c r="L29" s="188"/>
      <c r="M29" s="188"/>
      <c r="N29" s="188"/>
      <c r="O29" s="189"/>
      <c r="P29" s="188"/>
    </row>
    <row r="1048404" spans="3:19" s="6" customFormat="1">
      <c r="C1048404"/>
      <c r="D1048404" s="11"/>
      <c r="E1048404" s="11"/>
      <c r="F1048404" s="11"/>
      <c r="G1048404" s="11"/>
      <c r="K1048404" s="7"/>
      <c r="L1048404" s="8"/>
      <c r="M1048404" s="8"/>
      <c r="N1048404" s="8"/>
      <c r="O1048404"/>
      <c r="P1048404"/>
      <c r="Q1048404"/>
      <c r="R1048404"/>
      <c r="S1048404"/>
    </row>
  </sheetData>
  <autoFilter ref="A2:V24" xr:uid="{63321920-6B51-4EF3-828E-E82B8795E23E}"/>
  <mergeCells count="1">
    <mergeCell ref="A1:U1"/>
  </mergeCells>
  <pageMargins left="0.25" right="0.25" top="0.75" bottom="0.75" header="0.3" footer="0.3"/>
  <pageSetup paperSize="9" scale="53" fitToWidth="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695D-CBC1-428A-A867-61D24BC77832}">
  <dimension ref="A1:BV1048400"/>
  <sheetViews>
    <sheetView zoomScaleNormal="100" workbookViewId="0">
      <selection activeCell="C11" sqref="C3:C11"/>
    </sheetView>
  </sheetViews>
  <sheetFormatPr defaultRowHeight="15"/>
  <cols>
    <col min="1" max="1" width="4.42578125" customWidth="1"/>
    <col min="2" max="2" width="13.140625" style="6" customWidth="1"/>
    <col min="3" max="3" width="29.28515625" customWidth="1"/>
    <col min="4" max="4" width="12.42578125" customWidth="1"/>
    <col min="5" max="5" width="8.42578125" customWidth="1"/>
    <col min="6" max="6" width="10.42578125" customWidth="1"/>
    <col min="7" max="7" width="12.42578125" customWidth="1"/>
    <col min="8" max="8" width="8.42578125" style="6" customWidth="1"/>
    <col min="9" max="9" width="10.42578125" style="6" bestFit="1" customWidth="1"/>
    <col min="10" max="10" width="10.42578125" style="6" customWidth="1"/>
    <col min="11" max="11" width="15.42578125" style="7" bestFit="1" customWidth="1"/>
    <col min="12" max="12" width="11.7109375" style="8" customWidth="1"/>
    <col min="13" max="13" width="21.42578125" style="8" customWidth="1"/>
    <col min="14" max="14" width="15" style="8" customWidth="1"/>
    <col min="15" max="15" width="14.5703125" customWidth="1"/>
    <col min="16" max="16" width="21.7109375" customWidth="1"/>
    <col min="17" max="17" width="12.42578125" customWidth="1"/>
    <col min="18" max="18" width="13.140625" customWidth="1"/>
    <col min="19" max="19" width="19.140625" customWidth="1"/>
    <col min="20" max="20" width="14" customWidth="1"/>
    <col min="21" max="21" width="9.140625" bestFit="1" customWidth="1"/>
  </cols>
  <sheetData>
    <row r="1" spans="1:74" ht="31.5" customHeight="1">
      <c r="A1" s="608" t="s">
        <v>197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87"/>
    </row>
    <row r="2" spans="1:74" ht="65.45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171" t="s">
        <v>12</v>
      </c>
      <c r="M2" s="345" t="s">
        <v>13</v>
      </c>
      <c r="N2" s="347" t="s">
        <v>14</v>
      </c>
      <c r="O2" s="346" t="s">
        <v>15</v>
      </c>
      <c r="P2" s="348" t="s">
        <v>16</v>
      </c>
      <c r="Q2" s="2" t="s">
        <v>17</v>
      </c>
      <c r="R2" s="2" t="s">
        <v>18</v>
      </c>
      <c r="S2" s="131" t="s">
        <v>19</v>
      </c>
      <c r="T2" s="3" t="s">
        <v>20</v>
      </c>
      <c r="U2" s="4" t="s">
        <v>17</v>
      </c>
      <c r="V2" s="4" t="s">
        <v>21</v>
      </c>
    </row>
    <row r="3" spans="1:74" ht="45">
      <c r="A3" s="70">
        <v>1</v>
      </c>
      <c r="B3" s="272">
        <v>93094512</v>
      </c>
      <c r="C3" s="156" t="s">
        <v>31</v>
      </c>
      <c r="D3" s="172" t="s">
        <v>23</v>
      </c>
      <c r="E3" s="157">
        <v>22.4</v>
      </c>
      <c r="F3" s="99">
        <v>22.4</v>
      </c>
      <c r="G3" s="138">
        <v>22.36</v>
      </c>
      <c r="H3" s="99"/>
      <c r="I3" s="99" t="s">
        <v>32</v>
      </c>
      <c r="J3" s="99" t="s">
        <v>33</v>
      </c>
      <c r="K3" s="82">
        <v>46205</v>
      </c>
      <c r="L3" s="139">
        <v>46205</v>
      </c>
      <c r="M3" s="577" t="s">
        <v>198</v>
      </c>
      <c r="N3" s="136" t="s">
        <v>35</v>
      </c>
      <c r="O3" s="165">
        <v>600</v>
      </c>
      <c r="P3" s="270" t="s">
        <v>199</v>
      </c>
      <c r="Q3" s="271">
        <v>1023.75</v>
      </c>
      <c r="R3" s="266">
        <f>Q3/3.673</f>
        <v>278.72311462020144</v>
      </c>
      <c r="S3" s="133">
        <f>(O3-R3)/O3</f>
        <v>0.53546147563299762</v>
      </c>
      <c r="T3" s="277" t="s">
        <v>183</v>
      </c>
      <c r="U3" s="84">
        <v>560.85</v>
      </c>
      <c r="V3" s="66"/>
    </row>
    <row r="4" spans="1:74" ht="105">
      <c r="A4" s="70">
        <v>2</v>
      </c>
      <c r="B4" s="261">
        <v>93107809</v>
      </c>
      <c r="C4" s="156" t="s">
        <v>67</v>
      </c>
      <c r="D4" s="244" t="s">
        <v>23</v>
      </c>
      <c r="E4" s="157">
        <v>22.5</v>
      </c>
      <c r="F4" s="99">
        <v>22.5</v>
      </c>
      <c r="G4" s="99">
        <v>22.44</v>
      </c>
      <c r="H4" s="99"/>
      <c r="I4" s="99" t="s">
        <v>32</v>
      </c>
      <c r="J4" s="99" t="s">
        <v>33</v>
      </c>
      <c r="K4" s="82">
        <v>46205</v>
      </c>
      <c r="L4" s="139">
        <v>46210</v>
      </c>
      <c r="M4" s="82" t="s">
        <v>39</v>
      </c>
      <c r="N4" s="136" t="s">
        <v>35</v>
      </c>
      <c r="O4" s="165">
        <v>4800</v>
      </c>
      <c r="P4" s="366" t="s">
        <v>200</v>
      </c>
      <c r="Q4" s="165">
        <v>9735</v>
      </c>
      <c r="R4" s="266">
        <f t="shared" ref="R4:R10" si="0">Q4/3.673</f>
        <v>2650.421998366458</v>
      </c>
      <c r="S4" s="133">
        <f t="shared" ref="S4:S11" si="1">(O4-R4)/O4</f>
        <v>0.44782875034032127</v>
      </c>
      <c r="T4" s="264" t="s">
        <v>201</v>
      </c>
      <c r="U4" s="84">
        <v>684.25</v>
      </c>
      <c r="V4" s="314">
        <v>8965</v>
      </c>
    </row>
    <row r="5" spans="1:74" ht="30">
      <c r="A5" s="70">
        <v>3</v>
      </c>
      <c r="B5" s="261">
        <v>93118231</v>
      </c>
      <c r="C5" s="156" t="s">
        <v>31</v>
      </c>
      <c r="D5" s="172" t="s">
        <v>23</v>
      </c>
      <c r="E5" s="157">
        <v>22.4</v>
      </c>
      <c r="F5" s="157">
        <v>22.4</v>
      </c>
      <c r="G5" s="157">
        <v>22.4</v>
      </c>
      <c r="H5" s="99"/>
      <c r="I5" s="99" t="s">
        <v>32</v>
      </c>
      <c r="J5" s="99" t="s">
        <v>33</v>
      </c>
      <c r="K5" s="395">
        <v>46218</v>
      </c>
      <c r="L5" s="139" t="s">
        <v>116</v>
      </c>
      <c r="M5" s="82" t="s">
        <v>63</v>
      </c>
      <c r="N5" s="260" t="s">
        <v>35</v>
      </c>
      <c r="O5" s="165">
        <v>600</v>
      </c>
      <c r="P5" s="270" t="s">
        <v>199</v>
      </c>
      <c r="Q5" s="271">
        <v>1023.75</v>
      </c>
      <c r="R5" s="266">
        <f t="shared" si="0"/>
        <v>278.72311462020144</v>
      </c>
      <c r="S5" s="133">
        <f t="shared" si="1"/>
        <v>0.53546147563299762</v>
      </c>
      <c r="T5" s="277" t="s">
        <v>202</v>
      </c>
      <c r="U5" s="84">
        <v>560.85</v>
      </c>
      <c r="V5" s="66"/>
    </row>
    <row r="6" spans="1:74" ht="30">
      <c r="A6" s="70">
        <v>4</v>
      </c>
      <c r="B6" s="449">
        <v>93118232</v>
      </c>
      <c r="C6" s="373" t="s">
        <v>31</v>
      </c>
      <c r="D6" s="164" t="s">
        <v>23</v>
      </c>
      <c r="E6" s="386">
        <v>22.4</v>
      </c>
      <c r="F6" s="386">
        <v>22.4</v>
      </c>
      <c r="G6" s="387">
        <v>22.39</v>
      </c>
      <c r="H6" s="388"/>
      <c r="I6" s="138" t="s">
        <v>32</v>
      </c>
      <c r="J6" s="138" t="s">
        <v>33</v>
      </c>
      <c r="K6" s="81">
        <v>46212</v>
      </c>
      <c r="L6" s="139" t="s">
        <v>116</v>
      </c>
      <c r="M6" s="81" t="s">
        <v>63</v>
      </c>
      <c r="N6" s="136" t="s">
        <v>35</v>
      </c>
      <c r="O6" s="243">
        <v>600</v>
      </c>
      <c r="P6" s="270" t="s">
        <v>199</v>
      </c>
      <c r="Q6" s="271">
        <v>1023.75</v>
      </c>
      <c r="R6" s="266">
        <f t="shared" si="0"/>
        <v>278.72311462020144</v>
      </c>
      <c r="S6" s="132">
        <f t="shared" si="1"/>
        <v>0.53546147563299762</v>
      </c>
      <c r="T6" s="277" t="s">
        <v>202</v>
      </c>
      <c r="U6" s="84">
        <v>560.85</v>
      </c>
      <c r="V6" s="69"/>
    </row>
    <row r="7" spans="1:74" s="19" customFormat="1">
      <c r="A7" s="5">
        <v>5</v>
      </c>
      <c r="B7" s="391">
        <v>93122905</v>
      </c>
      <c r="C7" s="392" t="s">
        <v>54</v>
      </c>
      <c r="D7" s="393" t="s">
        <v>23</v>
      </c>
      <c r="E7" s="387">
        <v>16.2</v>
      </c>
      <c r="F7" s="5">
        <v>17.225999999999999</v>
      </c>
      <c r="G7" s="5">
        <v>16.2</v>
      </c>
      <c r="H7" s="394">
        <v>18</v>
      </c>
      <c r="I7" s="394" t="s">
        <v>30</v>
      </c>
      <c r="J7" s="391" t="s">
        <v>33</v>
      </c>
      <c r="K7" s="395">
        <v>46218</v>
      </c>
      <c r="L7" s="395">
        <v>46218</v>
      </c>
      <c r="M7" s="5" t="s">
        <v>148</v>
      </c>
      <c r="N7" s="396" t="s">
        <v>56</v>
      </c>
      <c r="O7" s="400">
        <v>0</v>
      </c>
      <c r="P7" s="397" t="s">
        <v>57</v>
      </c>
      <c r="Q7" s="398">
        <v>0</v>
      </c>
      <c r="R7" s="399">
        <v>0</v>
      </c>
      <c r="S7" s="448" t="s">
        <v>57</v>
      </c>
      <c r="T7" s="389"/>
      <c r="U7" s="385"/>
      <c r="V7" s="385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390"/>
    </row>
    <row r="8" spans="1:74" ht="45">
      <c r="A8" s="410">
        <v>6</v>
      </c>
      <c r="B8" s="472">
        <v>93130567</v>
      </c>
      <c r="C8" s="415" t="s">
        <v>58</v>
      </c>
      <c r="D8" s="416" t="s">
        <v>23</v>
      </c>
      <c r="E8" s="411">
        <v>22.4</v>
      </c>
      <c r="F8" s="411">
        <v>22.4</v>
      </c>
      <c r="G8" s="412">
        <v>22.37</v>
      </c>
      <c r="H8" s="412"/>
      <c r="I8" s="138" t="s">
        <v>32</v>
      </c>
      <c r="J8" s="138" t="s">
        <v>33</v>
      </c>
      <c r="K8" s="395">
        <v>46220</v>
      </c>
      <c r="L8" s="413">
        <v>46222</v>
      </c>
      <c r="M8" s="82" t="s">
        <v>39</v>
      </c>
      <c r="N8" s="414" t="s">
        <v>40</v>
      </c>
      <c r="O8" s="166">
        <v>2150</v>
      </c>
      <c r="P8" s="522" t="s">
        <v>203</v>
      </c>
      <c r="Q8" s="166">
        <v>5781.5</v>
      </c>
      <c r="R8" s="521">
        <f t="shared" ref="R8" si="2">Q8/3.673</f>
        <v>1574.0539068881023</v>
      </c>
      <c r="S8" s="181">
        <f t="shared" ref="S8" si="3">(O8-R8)/O8</f>
        <v>0.26788190377297566</v>
      </c>
      <c r="T8" s="470" t="s">
        <v>204</v>
      </c>
      <c r="U8" s="471">
        <v>794.25</v>
      </c>
      <c r="V8" s="384"/>
    </row>
    <row r="9" spans="1:74" ht="30">
      <c r="A9" s="72">
        <v>7</v>
      </c>
      <c r="B9" s="272">
        <v>93138894</v>
      </c>
      <c r="C9" s="156" t="s">
        <v>31</v>
      </c>
      <c r="D9" s="244" t="s">
        <v>23</v>
      </c>
      <c r="E9" s="157">
        <v>22.4</v>
      </c>
      <c r="F9" s="157">
        <v>22.4</v>
      </c>
      <c r="G9" s="99">
        <v>22.37</v>
      </c>
      <c r="H9" s="99"/>
      <c r="I9" s="99" t="s">
        <v>32</v>
      </c>
      <c r="J9" s="99" t="s">
        <v>33</v>
      </c>
      <c r="K9" s="317">
        <v>46225</v>
      </c>
      <c r="L9" s="139" t="s">
        <v>116</v>
      </c>
      <c r="M9" s="82" t="s">
        <v>63</v>
      </c>
      <c r="N9" s="136" t="s">
        <v>35</v>
      </c>
      <c r="O9" s="165">
        <v>600</v>
      </c>
      <c r="P9" s="270" t="s">
        <v>199</v>
      </c>
      <c r="Q9" s="271">
        <v>1023.75</v>
      </c>
      <c r="R9" s="266">
        <f t="shared" si="0"/>
        <v>278.72311462020144</v>
      </c>
      <c r="S9" s="133">
        <f t="shared" si="1"/>
        <v>0.53546147563299762</v>
      </c>
      <c r="T9" s="277" t="s">
        <v>202</v>
      </c>
      <c r="U9" s="84">
        <v>560.85</v>
      </c>
      <c r="V9" s="66"/>
    </row>
    <row r="10" spans="1:74" ht="30">
      <c r="A10" s="70">
        <v>8</v>
      </c>
      <c r="B10" s="449">
        <v>93138908</v>
      </c>
      <c r="C10" s="373" t="s">
        <v>31</v>
      </c>
      <c r="D10" s="374" t="s">
        <v>23</v>
      </c>
      <c r="E10" s="137">
        <v>22.4</v>
      </c>
      <c r="F10" s="137">
        <v>22.4</v>
      </c>
      <c r="G10" s="138">
        <v>22.36</v>
      </c>
      <c r="H10" s="138"/>
      <c r="I10" s="138" t="s">
        <v>32</v>
      </c>
      <c r="J10" s="138" t="s">
        <v>33</v>
      </c>
      <c r="K10" s="317">
        <v>46231</v>
      </c>
      <c r="L10" s="139" t="s">
        <v>116</v>
      </c>
      <c r="M10" s="81" t="s">
        <v>63</v>
      </c>
      <c r="N10" s="136" t="s">
        <v>35</v>
      </c>
      <c r="O10" s="243">
        <v>600</v>
      </c>
      <c r="P10" s="270" t="s">
        <v>199</v>
      </c>
      <c r="Q10" s="271">
        <v>1023.75</v>
      </c>
      <c r="R10" s="266">
        <f t="shared" si="0"/>
        <v>278.72311462020144</v>
      </c>
      <c r="S10" s="132">
        <f t="shared" si="1"/>
        <v>0.53546147563299762</v>
      </c>
      <c r="T10" s="277" t="s">
        <v>202</v>
      </c>
      <c r="U10" s="84">
        <v>560.85</v>
      </c>
      <c r="V10" s="69"/>
    </row>
    <row r="11" spans="1:74" ht="30">
      <c r="A11" s="72">
        <v>9</v>
      </c>
      <c r="B11" s="261">
        <v>93151699</v>
      </c>
      <c r="C11" s="156" t="s">
        <v>80</v>
      </c>
      <c r="D11" s="244" t="s">
        <v>23</v>
      </c>
      <c r="E11" s="157">
        <v>16.2</v>
      </c>
      <c r="F11" s="99">
        <v>17.225999999999999</v>
      </c>
      <c r="G11" s="99">
        <v>16.2</v>
      </c>
      <c r="H11" s="99">
        <v>18</v>
      </c>
      <c r="I11" s="99" t="s">
        <v>30</v>
      </c>
      <c r="J11" s="99" t="s">
        <v>33</v>
      </c>
      <c r="K11" s="82">
        <v>46232</v>
      </c>
      <c r="L11" s="82">
        <v>46231</v>
      </c>
      <c r="M11" s="82" t="s">
        <v>63</v>
      </c>
      <c r="N11" s="75" t="s">
        <v>154</v>
      </c>
      <c r="O11" s="165">
        <v>700</v>
      </c>
      <c r="P11" s="397" t="s">
        <v>57</v>
      </c>
      <c r="Q11" s="398">
        <v>0</v>
      </c>
      <c r="R11" s="399">
        <v>0</v>
      </c>
      <c r="S11" s="133">
        <f t="shared" si="1"/>
        <v>1</v>
      </c>
      <c r="T11" s="277" t="s">
        <v>202</v>
      </c>
      <c r="U11" s="84">
        <v>560.85</v>
      </c>
      <c r="V11" s="66"/>
    </row>
    <row r="12" spans="1:74" s="31" customFormat="1" ht="15.75">
      <c r="A12" s="141"/>
      <c r="B12" s="22"/>
      <c r="E12" s="142">
        <f>SUM(E3:E11)</f>
        <v>189.29999999999998</v>
      </c>
      <c r="G12" s="143">
        <f>SUM(G3:G11)</f>
        <v>189.08999999999997</v>
      </c>
      <c r="H12" s="22"/>
      <c r="I12" s="22"/>
      <c r="J12" s="22"/>
      <c r="K12" s="144"/>
      <c r="L12" s="145"/>
      <c r="M12" s="145"/>
      <c r="N12" s="94"/>
      <c r="P12" s="146"/>
      <c r="Q12" s="147">
        <f>SUM(Q3:Q11)</f>
        <v>20635.25</v>
      </c>
      <c r="R12" s="145"/>
    </row>
    <row r="13" spans="1:74">
      <c r="A13" s="6" t="s">
        <v>70</v>
      </c>
      <c r="C13" s="6"/>
      <c r="D13" s="7"/>
      <c r="E13" s="8"/>
      <c r="F13" s="8"/>
      <c r="G13" s="8"/>
      <c r="H13"/>
      <c r="I13"/>
      <c r="J13"/>
      <c r="K13"/>
      <c r="M13"/>
    </row>
    <row r="14" spans="1:74">
      <c r="A14" s="6"/>
      <c r="B14" s="178"/>
      <c r="C14" s="6" t="s">
        <v>157</v>
      </c>
      <c r="D14" s="7"/>
      <c r="E14" s="8"/>
      <c r="F14" s="8"/>
      <c r="G14" s="8"/>
      <c r="H14"/>
      <c r="I14"/>
      <c r="J14"/>
      <c r="K14"/>
      <c r="L14"/>
      <c r="M14"/>
      <c r="N14"/>
    </row>
    <row r="15" spans="1:74">
      <c r="A15" s="6"/>
      <c r="C15" s="6"/>
      <c r="D15" s="7"/>
      <c r="E15" s="8"/>
      <c r="F15" s="9" t="s">
        <v>72</v>
      </c>
      <c r="G15" s="8"/>
      <c r="H15"/>
      <c r="I15"/>
      <c r="J15"/>
      <c r="K15"/>
      <c r="L15"/>
      <c r="M15"/>
      <c r="N15"/>
    </row>
    <row r="16" spans="1:74">
      <c r="A16" s="7"/>
      <c r="B16" s="8"/>
      <c r="C16" s="8"/>
      <c r="D16" s="8"/>
      <c r="F16" t="s">
        <v>73</v>
      </c>
      <c r="H16"/>
      <c r="I16"/>
      <c r="J16"/>
      <c r="K16"/>
      <c r="L16"/>
      <c r="M16"/>
      <c r="N16"/>
    </row>
    <row r="17" spans="1:16">
      <c r="A17" s="7"/>
      <c r="B17" s="8"/>
      <c r="C17" s="8"/>
      <c r="D17" s="8"/>
      <c r="F17" t="s">
        <v>74</v>
      </c>
      <c r="H17"/>
      <c r="I17"/>
      <c r="J17"/>
      <c r="K17"/>
      <c r="L17"/>
      <c r="M17"/>
      <c r="N17"/>
    </row>
    <row r="18" spans="1:16">
      <c r="A18" s="7"/>
      <c r="B18" s="8"/>
      <c r="C18" s="8"/>
      <c r="D18" s="8"/>
      <c r="F18" t="s">
        <v>75</v>
      </c>
      <c r="H18"/>
      <c r="I18"/>
      <c r="J18"/>
      <c r="K18"/>
      <c r="L18"/>
      <c r="M18"/>
      <c r="N18"/>
    </row>
    <row r="19" spans="1:16">
      <c r="F19" t="s">
        <v>76</v>
      </c>
      <c r="N19"/>
    </row>
    <row r="20" spans="1:16" ht="14.1" customHeight="1">
      <c r="A20" s="10" t="s">
        <v>77</v>
      </c>
      <c r="B20" s="10"/>
      <c r="C20" s="10"/>
      <c r="F20" t="s">
        <v>78</v>
      </c>
    </row>
    <row r="21" spans="1:16">
      <c r="B21" s="23"/>
      <c r="C21" s="312"/>
      <c r="D21" s="308"/>
      <c r="E21" s="309"/>
      <c r="F21" s="310"/>
      <c r="G21" s="311"/>
      <c r="H21" s="312"/>
      <c r="I21" s="312"/>
      <c r="J21" s="312"/>
      <c r="K21" s="312"/>
      <c r="L21" s="301"/>
      <c r="M21" s="301"/>
      <c r="N21" s="301"/>
      <c r="O21" s="301"/>
      <c r="P21" s="302"/>
    </row>
    <row r="22" spans="1:16">
      <c r="A22" s="6"/>
      <c r="B22" s="378" t="s">
        <v>205</v>
      </c>
      <c r="C22" s="378"/>
      <c r="D22" s="378"/>
      <c r="E22" s="461"/>
      <c r="F22" s="462"/>
      <c r="G22" s="463"/>
      <c r="H22" s="464"/>
      <c r="I22" s="464"/>
      <c r="J22" s="464"/>
      <c r="K22" s="312"/>
      <c r="L22" s="301"/>
      <c r="M22" s="301"/>
      <c r="N22" s="301"/>
      <c r="O22" s="316"/>
      <c r="P22" s="302"/>
    </row>
    <row r="23" spans="1:16">
      <c r="B23" s="343" t="s">
        <v>206</v>
      </c>
      <c r="C23" s="12"/>
    </row>
    <row r="24" spans="1:16">
      <c r="B24" s="7"/>
    </row>
    <row r="25" spans="1:16">
      <c r="B25" s="182"/>
      <c r="C25" s="183"/>
      <c r="D25" s="184"/>
      <c r="E25" s="185"/>
      <c r="F25" s="186"/>
      <c r="G25" s="182"/>
      <c r="H25" s="182"/>
      <c r="I25" s="182"/>
      <c r="J25" s="182"/>
      <c r="K25" s="187"/>
      <c r="L25" s="188"/>
      <c r="M25" s="188"/>
      <c r="N25" s="188"/>
      <c r="O25" s="189"/>
      <c r="P25" s="188"/>
    </row>
    <row r="1048400" spans="3:19" s="6" customFormat="1">
      <c r="C1048400"/>
      <c r="D1048400" s="11"/>
      <c r="E1048400" s="11"/>
      <c r="F1048400" s="11"/>
      <c r="G1048400" s="11"/>
      <c r="K1048400" s="7"/>
      <c r="L1048400" s="8"/>
      <c r="M1048400" s="8"/>
      <c r="N1048400" s="8"/>
      <c r="O1048400"/>
      <c r="P1048400"/>
      <c r="Q1048400"/>
      <c r="R1048400"/>
      <c r="S1048400"/>
    </row>
  </sheetData>
  <autoFilter ref="A2:V20" xr:uid="{63321920-6B51-4EF3-828E-E82B8795E23E}"/>
  <mergeCells count="1">
    <mergeCell ref="A1:U1"/>
  </mergeCells>
  <pageMargins left="0.25" right="0.25" top="0.75" bottom="0.75" header="0.3" footer="0.3"/>
  <pageSetup paperSize="9" scale="70" fitToWidth="0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62C3-28D4-4E92-8636-762A22DFB5B2}">
  <sheetPr>
    <pageSetUpPr fitToPage="1"/>
  </sheetPr>
  <dimension ref="A1:BV1048405"/>
  <sheetViews>
    <sheetView topLeftCell="A7" zoomScaleNormal="100" workbookViewId="0">
      <selection activeCell="A14" sqref="A14:XFD14"/>
    </sheetView>
  </sheetViews>
  <sheetFormatPr defaultRowHeight="15"/>
  <cols>
    <col min="1" max="1" width="4.42578125" customWidth="1"/>
    <col min="2" max="2" width="13.140625" style="6" customWidth="1"/>
    <col min="3" max="3" width="29.28515625" customWidth="1"/>
    <col min="4" max="4" width="12.42578125" customWidth="1"/>
    <col min="5" max="5" width="8.42578125" customWidth="1"/>
    <col min="6" max="6" width="10.42578125" customWidth="1"/>
    <col min="7" max="7" width="12.42578125" customWidth="1"/>
    <col min="8" max="8" width="8.42578125" style="6" customWidth="1"/>
    <col min="9" max="9" width="10.42578125" style="6" bestFit="1" customWidth="1"/>
    <col min="10" max="10" width="10.42578125" style="6" customWidth="1"/>
    <col min="11" max="11" width="15.42578125" style="7" bestFit="1" customWidth="1"/>
    <col min="12" max="12" width="11.7109375" style="8" customWidth="1"/>
    <col min="13" max="13" width="21.42578125" style="8" customWidth="1"/>
    <col min="14" max="14" width="15" style="8" customWidth="1"/>
    <col min="15" max="15" width="14.5703125" customWidth="1"/>
    <col min="16" max="16" width="21.7109375" customWidth="1"/>
    <col min="17" max="17" width="12.42578125" customWidth="1"/>
    <col min="18" max="18" width="13.140625" customWidth="1"/>
    <col min="19" max="19" width="19.140625" customWidth="1"/>
    <col min="20" max="20" width="14" customWidth="1"/>
    <col min="21" max="21" width="9.140625" bestFit="1" customWidth="1"/>
  </cols>
  <sheetData>
    <row r="1" spans="1:74" ht="31.5" customHeight="1" thickBot="1">
      <c r="A1" s="608" t="s">
        <v>207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87"/>
    </row>
    <row r="2" spans="1:74" ht="65.45" customHeight="1" thickBot="1">
      <c r="A2" s="346" t="s">
        <v>1</v>
      </c>
      <c r="B2" s="451" t="s">
        <v>2</v>
      </c>
      <c r="C2" s="346" t="s">
        <v>3</v>
      </c>
      <c r="D2" s="346" t="s">
        <v>4</v>
      </c>
      <c r="E2" s="346" t="s">
        <v>5</v>
      </c>
      <c r="F2" s="346" t="s">
        <v>6</v>
      </c>
      <c r="G2" s="171" t="s">
        <v>7</v>
      </c>
      <c r="H2" s="346" t="s">
        <v>8</v>
      </c>
      <c r="I2" s="450" t="s">
        <v>9</v>
      </c>
      <c r="J2" s="450" t="s">
        <v>10</v>
      </c>
      <c r="K2" s="450" t="s">
        <v>11</v>
      </c>
      <c r="L2" s="450" t="s">
        <v>12</v>
      </c>
      <c r="M2" s="347" t="s">
        <v>13</v>
      </c>
      <c r="N2" s="346" t="s">
        <v>14</v>
      </c>
      <c r="O2" s="347" t="s">
        <v>15</v>
      </c>
      <c r="P2" s="346" t="s">
        <v>16</v>
      </c>
      <c r="Q2" s="347" t="s">
        <v>17</v>
      </c>
      <c r="R2" s="346" t="s">
        <v>18</v>
      </c>
      <c r="S2" s="452" t="s">
        <v>19</v>
      </c>
      <c r="T2" s="346" t="s">
        <v>20</v>
      </c>
      <c r="U2" s="346" t="s">
        <v>17</v>
      </c>
      <c r="V2" s="346" t="s">
        <v>21</v>
      </c>
    </row>
    <row r="3" spans="1:74" ht="45">
      <c r="A3" s="410">
        <v>1</v>
      </c>
      <c r="B3" s="272">
        <v>93153518</v>
      </c>
      <c r="C3" s="415" t="s">
        <v>58</v>
      </c>
      <c r="D3" s="467" t="s">
        <v>23</v>
      </c>
      <c r="E3" s="157">
        <v>22.4</v>
      </c>
      <c r="F3" s="157">
        <v>22.4</v>
      </c>
      <c r="G3" s="469">
        <v>22.35</v>
      </c>
      <c r="H3" s="412"/>
      <c r="I3" s="412" t="s">
        <v>32</v>
      </c>
      <c r="J3" s="412" t="s">
        <v>33</v>
      </c>
      <c r="K3" s="413">
        <v>46238</v>
      </c>
      <c r="L3" s="413">
        <v>46239</v>
      </c>
      <c r="M3" s="82" t="s">
        <v>39</v>
      </c>
      <c r="N3" s="414" t="s">
        <v>40</v>
      </c>
      <c r="O3" s="166">
        <v>2150</v>
      </c>
      <c r="P3" s="453"/>
      <c r="Q3" s="380">
        <v>5781.5</v>
      </c>
      <c r="R3" s="429">
        <f t="shared" ref="R3:R16" si="0">Q3/3.673</f>
        <v>1574.0539068881023</v>
      </c>
      <c r="S3" s="181">
        <f t="shared" ref="S3:S16" si="1">(O3-R3)/O3</f>
        <v>0.26788190377297566</v>
      </c>
      <c r="T3" s="572" t="s">
        <v>208</v>
      </c>
      <c r="U3" s="84">
        <v>794.25</v>
      </c>
      <c r="V3" s="66"/>
    </row>
    <row r="4" spans="1:74" ht="45">
      <c r="A4" s="70">
        <v>2</v>
      </c>
      <c r="B4" s="261">
        <v>93157675</v>
      </c>
      <c r="C4" s="156" t="s">
        <v>209</v>
      </c>
      <c r="D4" s="467" t="s">
        <v>23</v>
      </c>
      <c r="E4" s="157">
        <v>22.4</v>
      </c>
      <c r="F4" s="157">
        <v>22.4</v>
      </c>
      <c r="G4" s="468">
        <v>22.34</v>
      </c>
      <c r="H4" s="99"/>
      <c r="I4" s="138" t="s">
        <v>32</v>
      </c>
      <c r="J4" s="138" t="s">
        <v>33</v>
      </c>
      <c r="K4" s="82">
        <v>46237</v>
      </c>
      <c r="L4" s="139" t="s">
        <v>52</v>
      </c>
      <c r="M4" s="82" t="s">
        <v>39</v>
      </c>
      <c r="N4" s="136" t="s">
        <v>35</v>
      </c>
      <c r="O4" s="165">
        <v>4300</v>
      </c>
      <c r="P4" s="372"/>
      <c r="Q4" s="152">
        <v>9935</v>
      </c>
      <c r="R4" s="154">
        <f t="shared" si="0"/>
        <v>2704.8734004900625</v>
      </c>
      <c r="S4" s="133">
        <f t="shared" si="1"/>
        <v>0.37095967430463661</v>
      </c>
      <c r="T4" s="264" t="s">
        <v>210</v>
      </c>
      <c r="U4" s="84">
        <v>864.25</v>
      </c>
      <c r="V4" s="66"/>
    </row>
    <row r="5" spans="1:74" ht="45">
      <c r="A5" s="70">
        <v>3</v>
      </c>
      <c r="B5" s="261">
        <v>93157677</v>
      </c>
      <c r="C5" s="156" t="s">
        <v>209</v>
      </c>
      <c r="D5" s="467" t="s">
        <v>23</v>
      </c>
      <c r="E5" s="157">
        <v>22.4</v>
      </c>
      <c r="F5" s="157">
        <v>22.4</v>
      </c>
      <c r="G5" s="468">
        <v>22.38</v>
      </c>
      <c r="H5" s="99"/>
      <c r="I5" s="138" t="s">
        <v>32</v>
      </c>
      <c r="J5" s="138" t="s">
        <v>33</v>
      </c>
      <c r="K5" s="82">
        <v>46244</v>
      </c>
      <c r="L5" s="139">
        <v>46247</v>
      </c>
      <c r="M5" s="82" t="s">
        <v>39</v>
      </c>
      <c r="N5" s="136" t="s">
        <v>35</v>
      </c>
      <c r="O5" s="165">
        <v>4300</v>
      </c>
      <c r="P5" s="372"/>
      <c r="Q5" s="152">
        <v>9935</v>
      </c>
      <c r="R5" s="426">
        <f t="shared" si="0"/>
        <v>2704.8734004900625</v>
      </c>
      <c r="S5" s="132">
        <f t="shared" si="1"/>
        <v>0.37095967430463661</v>
      </c>
      <c r="T5" s="277" t="s">
        <v>211</v>
      </c>
      <c r="U5" s="84">
        <v>864.25</v>
      </c>
      <c r="V5" s="66"/>
    </row>
    <row r="6" spans="1:74" ht="30">
      <c r="A6" s="70">
        <v>4</v>
      </c>
      <c r="B6" s="449">
        <v>93157701</v>
      </c>
      <c r="C6" s="373" t="s">
        <v>31</v>
      </c>
      <c r="D6" s="467" t="s">
        <v>23</v>
      </c>
      <c r="E6" s="157">
        <v>22.4</v>
      </c>
      <c r="F6" s="157">
        <v>22.4</v>
      </c>
      <c r="G6" s="455">
        <v>22.37</v>
      </c>
      <c r="H6" s="388"/>
      <c r="I6" s="138" t="s">
        <v>32</v>
      </c>
      <c r="J6" s="138" t="s">
        <v>33</v>
      </c>
      <c r="K6" s="82">
        <v>46239</v>
      </c>
      <c r="L6" s="139">
        <v>46239</v>
      </c>
      <c r="M6" s="81" t="s">
        <v>63</v>
      </c>
      <c r="N6" s="136" t="s">
        <v>35</v>
      </c>
      <c r="O6" s="243">
        <v>600</v>
      </c>
      <c r="P6" s="326"/>
      <c r="Q6" s="594">
        <v>1023.75</v>
      </c>
      <c r="R6" s="457">
        <f t="shared" si="0"/>
        <v>278.72311462020144</v>
      </c>
      <c r="S6" s="133">
        <f t="shared" si="1"/>
        <v>0.53546147563299762</v>
      </c>
      <c r="T6" s="576" t="s">
        <v>212</v>
      </c>
      <c r="U6" s="263">
        <v>560.85</v>
      </c>
      <c r="V6" s="69"/>
    </row>
    <row r="7" spans="1:74" s="19" customFormat="1" ht="30">
      <c r="A7" s="5">
        <v>5</v>
      </c>
      <c r="B7" s="575">
        <v>93157703</v>
      </c>
      <c r="C7" s="519" t="s">
        <v>31</v>
      </c>
      <c r="D7" s="467" t="s">
        <v>23</v>
      </c>
      <c r="E7" s="157">
        <v>22.4</v>
      </c>
      <c r="F7" s="157">
        <v>22.4</v>
      </c>
      <c r="G7" s="520">
        <v>22.43</v>
      </c>
      <c r="H7" s="391"/>
      <c r="I7" s="391" t="s">
        <v>32</v>
      </c>
      <c r="J7" s="391" t="s">
        <v>33</v>
      </c>
      <c r="K7" s="82">
        <v>46247</v>
      </c>
      <c r="L7" s="395" t="s">
        <v>116</v>
      </c>
      <c r="M7" s="395" t="s">
        <v>63</v>
      </c>
      <c r="N7" s="136" t="s">
        <v>35</v>
      </c>
      <c r="O7" s="400">
        <v>600</v>
      </c>
      <c r="P7" s="442"/>
      <c r="Q7" s="595">
        <v>1023.75</v>
      </c>
      <c r="R7" s="458">
        <f t="shared" si="0"/>
        <v>278.72311462020144</v>
      </c>
      <c r="S7" s="133">
        <f t="shared" si="1"/>
        <v>0.53546147563299762</v>
      </c>
      <c r="T7" s="576" t="s">
        <v>212</v>
      </c>
      <c r="U7" s="263">
        <v>560.85</v>
      </c>
      <c r="V7" s="385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390"/>
    </row>
    <row r="8" spans="1:74" ht="30">
      <c r="A8" s="410">
        <v>6</v>
      </c>
      <c r="B8" s="472">
        <v>93159762</v>
      </c>
      <c r="C8" s="519" t="s">
        <v>31</v>
      </c>
      <c r="D8" s="467" t="s">
        <v>23</v>
      </c>
      <c r="E8" s="157">
        <v>22.4</v>
      </c>
      <c r="F8" s="157">
        <v>22.4</v>
      </c>
      <c r="G8" s="520">
        <v>22.38</v>
      </c>
      <c r="H8" s="391"/>
      <c r="I8" s="391" t="s">
        <v>32</v>
      </c>
      <c r="J8" s="391" t="s">
        <v>33</v>
      </c>
      <c r="K8" s="82">
        <v>46259</v>
      </c>
      <c r="L8" s="395" t="s">
        <v>116</v>
      </c>
      <c r="M8" s="395" t="s">
        <v>63</v>
      </c>
      <c r="N8" s="136" t="s">
        <v>35</v>
      </c>
      <c r="O8" s="400">
        <v>600</v>
      </c>
      <c r="P8" s="382"/>
      <c r="Q8" s="595">
        <v>1023.75</v>
      </c>
      <c r="R8" s="458">
        <f t="shared" si="0"/>
        <v>278.72311462020144</v>
      </c>
      <c r="S8" s="133">
        <f t="shared" si="1"/>
        <v>0.53546147563299762</v>
      </c>
      <c r="T8" s="576" t="s">
        <v>212</v>
      </c>
      <c r="U8" s="263">
        <v>560.85</v>
      </c>
      <c r="V8" s="384"/>
    </row>
    <row r="9" spans="1:74" ht="105">
      <c r="A9" s="72">
        <v>7</v>
      </c>
      <c r="B9" s="272">
        <v>93161239</v>
      </c>
      <c r="C9" s="156" t="s">
        <v>67</v>
      </c>
      <c r="D9" s="467" t="s">
        <v>23</v>
      </c>
      <c r="E9" s="483">
        <v>22.5</v>
      </c>
      <c r="F9" s="483">
        <v>22.5</v>
      </c>
      <c r="G9" s="484">
        <v>22.47</v>
      </c>
      <c r="H9" s="484"/>
      <c r="I9" s="391" t="s">
        <v>32</v>
      </c>
      <c r="J9" s="391" t="s">
        <v>33</v>
      </c>
      <c r="K9" s="82">
        <v>46239</v>
      </c>
      <c r="L9" s="395" t="s">
        <v>52</v>
      </c>
      <c r="M9" s="82" t="s">
        <v>39</v>
      </c>
      <c r="N9" s="317" t="s">
        <v>35</v>
      </c>
      <c r="O9" s="165">
        <v>4800</v>
      </c>
      <c r="P9" s="268" t="s">
        <v>213</v>
      </c>
      <c r="Q9" s="166">
        <v>9935</v>
      </c>
      <c r="R9" s="526">
        <f t="shared" si="0"/>
        <v>2704.8734004900625</v>
      </c>
      <c r="S9" s="133">
        <f t="shared" si="1"/>
        <v>0.43648470823123697</v>
      </c>
      <c r="T9" s="264" t="s">
        <v>214</v>
      </c>
      <c r="U9" s="84">
        <v>684.25</v>
      </c>
      <c r="V9" s="314">
        <v>9792</v>
      </c>
    </row>
    <row r="10" spans="1:74" s="230" customFormat="1" ht="120">
      <c r="A10" s="73">
        <v>8</v>
      </c>
      <c r="B10" s="272">
        <v>93161249</v>
      </c>
      <c r="C10" s="514" t="s">
        <v>67</v>
      </c>
      <c r="D10" s="488" t="s">
        <v>23</v>
      </c>
      <c r="E10" s="489">
        <v>22.5</v>
      </c>
      <c r="F10" s="489">
        <v>22.5</v>
      </c>
      <c r="G10" s="486">
        <v>22.5</v>
      </c>
      <c r="H10" s="486"/>
      <c r="I10" s="394" t="s">
        <v>32</v>
      </c>
      <c r="J10" s="394" t="s">
        <v>33</v>
      </c>
      <c r="K10" s="82">
        <v>46244</v>
      </c>
      <c r="L10" s="515">
        <v>46244</v>
      </c>
      <c r="M10" s="82" t="s">
        <v>39</v>
      </c>
      <c r="N10" s="136" t="s">
        <v>35</v>
      </c>
      <c r="O10" s="516">
        <v>4800</v>
      </c>
      <c r="P10" s="507"/>
      <c r="Q10" s="427">
        <v>9935</v>
      </c>
      <c r="R10" s="509">
        <f t="shared" si="0"/>
        <v>2704.8734004900625</v>
      </c>
      <c r="S10" s="510">
        <f t="shared" si="1"/>
        <v>0.43648470823123697</v>
      </c>
      <c r="T10" s="574" t="s">
        <v>215</v>
      </c>
      <c r="U10" s="84">
        <v>684.25</v>
      </c>
      <c r="V10" s="573">
        <v>9792</v>
      </c>
    </row>
    <row r="11" spans="1:74" s="230" customFormat="1" ht="30">
      <c r="A11" s="485">
        <v>9</v>
      </c>
      <c r="B11" s="376">
        <v>93161288</v>
      </c>
      <c r="C11" s="487" t="s">
        <v>80</v>
      </c>
      <c r="D11" s="488" t="s">
        <v>23</v>
      </c>
      <c r="E11" s="489">
        <v>16.2</v>
      </c>
      <c r="F11" s="486">
        <v>17.225999999999999</v>
      </c>
      <c r="G11" s="73">
        <v>16.2</v>
      </c>
      <c r="H11" s="73">
        <v>18</v>
      </c>
      <c r="I11" s="73" t="s">
        <v>30</v>
      </c>
      <c r="J11" s="73" t="s">
        <v>33</v>
      </c>
      <c r="K11" s="490">
        <v>46239</v>
      </c>
      <c r="L11" s="75">
        <v>46240</v>
      </c>
      <c r="M11" s="75" t="s">
        <v>63</v>
      </c>
      <c r="N11" s="491" t="s">
        <v>154</v>
      </c>
      <c r="O11" s="492">
        <v>700</v>
      </c>
      <c r="P11" s="397" t="s">
        <v>57</v>
      </c>
      <c r="Q11" s="398">
        <v>0</v>
      </c>
      <c r="R11" s="399">
        <v>0</v>
      </c>
      <c r="S11" s="473" t="s">
        <v>57</v>
      </c>
      <c r="T11" s="576" t="s">
        <v>212</v>
      </c>
      <c r="U11" s="263">
        <v>560.85</v>
      </c>
      <c r="V11" s="456"/>
    </row>
    <row r="12" spans="1:74" s="83" customFormat="1">
      <c r="A12" s="70">
        <v>10</v>
      </c>
      <c r="B12" s="73">
        <v>93175819</v>
      </c>
      <c r="C12" s="392" t="s">
        <v>54</v>
      </c>
      <c r="D12" s="393" t="s">
        <v>23</v>
      </c>
      <c r="E12" s="387">
        <v>16.2</v>
      </c>
      <c r="F12" s="5">
        <v>17.225999999999999</v>
      </c>
      <c r="G12" s="5">
        <v>16.2</v>
      </c>
      <c r="H12" s="394">
        <v>18</v>
      </c>
      <c r="I12" s="394" t="s">
        <v>30</v>
      </c>
      <c r="J12" s="391" t="s">
        <v>33</v>
      </c>
      <c r="K12" s="82">
        <v>46254</v>
      </c>
      <c r="L12" s="395" t="s">
        <v>116</v>
      </c>
      <c r="M12" s="5" t="s">
        <v>148</v>
      </c>
      <c r="N12" s="396" t="s">
        <v>56</v>
      </c>
      <c r="O12" s="400">
        <v>0</v>
      </c>
      <c r="P12" s="397" t="s">
        <v>57</v>
      </c>
      <c r="Q12" s="398">
        <v>0</v>
      </c>
      <c r="R12" s="399">
        <v>0</v>
      </c>
      <c r="S12" s="473" t="s">
        <v>57</v>
      </c>
      <c r="T12" s="134"/>
      <c r="U12" s="66"/>
      <c r="V12" s="66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 s="101"/>
    </row>
    <row r="13" spans="1:74" ht="105">
      <c r="A13" s="70">
        <v>11</v>
      </c>
      <c r="B13" s="258">
        <v>93181954</v>
      </c>
      <c r="C13" s="74" t="s">
        <v>67</v>
      </c>
      <c r="D13" s="393" t="s">
        <v>23</v>
      </c>
      <c r="E13" s="78">
        <v>22.5</v>
      </c>
      <c r="F13" s="96">
        <v>22.5</v>
      </c>
      <c r="G13" s="96">
        <v>22.5</v>
      </c>
      <c r="H13" s="71"/>
      <c r="I13" s="71"/>
      <c r="J13" s="391" t="s">
        <v>33</v>
      </c>
      <c r="K13" s="81">
        <v>46253</v>
      </c>
      <c r="L13" s="139">
        <v>46259</v>
      </c>
      <c r="M13" s="82" t="s">
        <v>39</v>
      </c>
      <c r="N13" s="136" t="s">
        <v>35</v>
      </c>
      <c r="O13" s="140">
        <v>4800</v>
      </c>
      <c r="P13" s="430"/>
      <c r="Q13" s="427">
        <v>9935</v>
      </c>
      <c r="R13" s="457">
        <f t="shared" si="0"/>
        <v>2704.8734004900625</v>
      </c>
      <c r="S13" s="133">
        <f t="shared" si="1"/>
        <v>0.43648470823123697</v>
      </c>
      <c r="T13" s="264" t="s">
        <v>216</v>
      </c>
      <c r="U13" s="84">
        <v>684.25</v>
      </c>
      <c r="V13" s="573">
        <v>9792</v>
      </c>
    </row>
    <row r="14" spans="1:74" ht="45">
      <c r="A14" s="70">
        <v>12</v>
      </c>
      <c r="B14" s="261">
        <v>93183447</v>
      </c>
      <c r="C14" s="156" t="s">
        <v>58</v>
      </c>
      <c r="D14" s="393" t="s">
        <v>23</v>
      </c>
      <c r="E14" s="137">
        <v>22.4</v>
      </c>
      <c r="F14" s="137">
        <v>22.4</v>
      </c>
      <c r="G14" s="138">
        <v>22.43</v>
      </c>
      <c r="H14" s="138"/>
      <c r="I14" s="138"/>
      <c r="J14" s="391" t="s">
        <v>33</v>
      </c>
      <c r="K14" s="82">
        <v>46265</v>
      </c>
      <c r="L14" s="97" t="s">
        <v>116</v>
      </c>
      <c r="M14" s="82" t="s">
        <v>39</v>
      </c>
      <c r="N14" s="260" t="s">
        <v>40</v>
      </c>
      <c r="O14" s="165">
        <v>2150</v>
      </c>
      <c r="P14" s="593"/>
      <c r="Q14" s="431">
        <v>5781.5</v>
      </c>
      <c r="R14" s="457">
        <f t="shared" si="0"/>
        <v>1574.0539068881023</v>
      </c>
      <c r="S14" s="133">
        <f t="shared" si="1"/>
        <v>0.26788190377297566</v>
      </c>
      <c r="T14" s="264" t="s">
        <v>217</v>
      </c>
      <c r="U14" s="84">
        <v>794.25</v>
      </c>
      <c r="V14" s="66"/>
    </row>
    <row r="15" spans="1:74" ht="30">
      <c r="A15" s="70">
        <v>13</v>
      </c>
      <c r="B15" s="272">
        <v>93188730</v>
      </c>
      <c r="C15" s="156" t="s">
        <v>139</v>
      </c>
      <c r="D15" s="393" t="s">
        <v>23</v>
      </c>
      <c r="E15" s="157">
        <v>16</v>
      </c>
      <c r="F15" s="99">
        <v>17.404</v>
      </c>
      <c r="G15" s="99">
        <v>16</v>
      </c>
      <c r="H15" s="99">
        <v>80</v>
      </c>
      <c r="I15" s="99" t="s">
        <v>24</v>
      </c>
      <c r="J15" s="391" t="s">
        <v>33</v>
      </c>
      <c r="K15" s="81">
        <v>46261</v>
      </c>
      <c r="L15" s="139" t="s">
        <v>52</v>
      </c>
      <c r="M15" s="395" t="s">
        <v>63</v>
      </c>
      <c r="N15" s="136" t="s">
        <v>218</v>
      </c>
      <c r="O15" s="165">
        <v>630</v>
      </c>
      <c r="P15" s="430"/>
      <c r="Q15" s="428">
        <v>1050</v>
      </c>
      <c r="R15" s="457">
        <f t="shared" si="0"/>
        <v>285.8698611489246</v>
      </c>
      <c r="S15" s="133">
        <f t="shared" si="1"/>
        <v>0.54623831563662761</v>
      </c>
      <c r="T15" s="572" t="s">
        <v>219</v>
      </c>
      <c r="U15" s="84">
        <v>450.85</v>
      </c>
      <c r="V15" s="84">
        <v>4848</v>
      </c>
    </row>
    <row r="16" spans="1:74" ht="30">
      <c r="A16" s="72">
        <v>14</v>
      </c>
      <c r="B16" s="578">
        <v>93188751</v>
      </c>
      <c r="C16" s="156" t="s">
        <v>80</v>
      </c>
      <c r="D16" s="579" t="s">
        <v>23</v>
      </c>
      <c r="E16" s="157">
        <v>16.2</v>
      </c>
      <c r="F16" s="99">
        <v>17.225999999999999</v>
      </c>
      <c r="G16" s="99">
        <v>16.2</v>
      </c>
      <c r="H16" s="99">
        <v>18</v>
      </c>
      <c r="I16" s="99" t="s">
        <v>30</v>
      </c>
      <c r="J16" s="580" t="s">
        <v>33</v>
      </c>
      <c r="K16" s="82">
        <v>46260</v>
      </c>
      <c r="L16" s="97">
        <v>46261</v>
      </c>
      <c r="M16" s="581" t="s">
        <v>63</v>
      </c>
      <c r="N16" s="260" t="s">
        <v>218</v>
      </c>
      <c r="O16" s="165">
        <v>700</v>
      </c>
      <c r="P16" s="430"/>
      <c r="Q16" s="427">
        <v>1575</v>
      </c>
      <c r="R16" s="458">
        <f t="shared" si="0"/>
        <v>428.80479172338687</v>
      </c>
      <c r="S16" s="133">
        <f t="shared" si="1"/>
        <v>0.38742172610944731</v>
      </c>
      <c r="T16" s="277" t="s">
        <v>212</v>
      </c>
      <c r="U16" s="84">
        <v>560.85</v>
      </c>
      <c r="V16" s="66"/>
    </row>
    <row r="17" spans="1:18" s="31" customFormat="1" ht="16.5" thickBot="1">
      <c r="A17" s="141">
        <f>COUNT(A3:A16)</f>
        <v>14</v>
      </c>
      <c r="B17" s="22"/>
      <c r="E17" s="142">
        <f>SUM(E3:E16)</f>
        <v>288.89999999999998</v>
      </c>
      <c r="G17" s="466">
        <f>SUM(G3:G16)</f>
        <v>288.74999999999994</v>
      </c>
      <c r="H17" s="22"/>
      <c r="I17" s="22"/>
      <c r="J17" s="22"/>
      <c r="K17" s="144"/>
      <c r="L17" s="145"/>
      <c r="M17" s="145"/>
      <c r="N17" s="94"/>
      <c r="P17" s="146"/>
      <c r="Q17" s="147">
        <f>SUM(Q3:Q16)</f>
        <v>66934.25</v>
      </c>
      <c r="R17" s="145"/>
    </row>
    <row r="18" spans="1:18">
      <c r="A18" s="6" t="s">
        <v>70</v>
      </c>
      <c r="C18" s="6"/>
      <c r="D18" s="7"/>
      <c r="E18" s="8"/>
      <c r="F18" s="8"/>
      <c r="G18" s="6"/>
      <c r="H18"/>
      <c r="I18"/>
      <c r="J18"/>
      <c r="K18"/>
      <c r="M18"/>
    </row>
    <row r="19" spans="1:18">
      <c r="A19" s="6"/>
      <c r="B19" s="178"/>
      <c r="C19" s="6" t="s">
        <v>157</v>
      </c>
      <c r="D19" s="7"/>
      <c r="E19" s="8"/>
      <c r="F19" s="8"/>
      <c r="G19" s="6"/>
      <c r="H19"/>
      <c r="I19"/>
      <c r="J19"/>
      <c r="K19"/>
      <c r="L19"/>
      <c r="M19"/>
      <c r="N19"/>
    </row>
    <row r="20" spans="1:18">
      <c r="A20" s="6"/>
      <c r="B20" s="454"/>
      <c r="C20" s="6" t="s">
        <v>220</v>
      </c>
      <c r="D20" s="7"/>
      <c r="E20" s="8"/>
      <c r="F20" s="9" t="s">
        <v>72</v>
      </c>
      <c r="G20" s="6"/>
      <c r="H20"/>
      <c r="I20"/>
      <c r="J20"/>
      <c r="K20"/>
      <c r="L20"/>
      <c r="M20"/>
      <c r="N20"/>
    </row>
    <row r="21" spans="1:18">
      <c r="A21" s="7"/>
      <c r="B21" s="8"/>
      <c r="C21" s="8"/>
      <c r="D21" s="8"/>
      <c r="F21" t="s">
        <v>73</v>
      </c>
      <c r="H21"/>
      <c r="I21"/>
      <c r="J21"/>
      <c r="K21"/>
      <c r="L21"/>
      <c r="M21"/>
      <c r="N21"/>
    </row>
    <row r="22" spans="1:18">
      <c r="A22" s="7"/>
      <c r="B22" s="8"/>
      <c r="C22" s="8"/>
      <c r="D22" s="8"/>
      <c r="F22" t="s">
        <v>74</v>
      </c>
      <c r="H22"/>
      <c r="I22"/>
      <c r="J22"/>
      <c r="K22"/>
      <c r="L22"/>
      <c r="M22"/>
      <c r="N22"/>
    </row>
    <row r="23" spans="1:18">
      <c r="A23" s="7"/>
      <c r="B23" s="8"/>
      <c r="C23" s="8"/>
      <c r="D23" s="8"/>
      <c r="F23" t="s">
        <v>75</v>
      </c>
      <c r="H23"/>
      <c r="I23"/>
      <c r="J23"/>
      <c r="K23"/>
      <c r="L23"/>
      <c r="M23"/>
      <c r="N23"/>
    </row>
    <row r="24" spans="1:18">
      <c r="F24" t="s">
        <v>76</v>
      </c>
      <c r="N24"/>
    </row>
    <row r="25" spans="1:18" ht="14.1" customHeight="1">
      <c r="A25" s="10" t="s">
        <v>77</v>
      </c>
      <c r="B25" s="10"/>
      <c r="C25" s="10"/>
      <c r="F25" t="s">
        <v>78</v>
      </c>
    </row>
    <row r="26" spans="1:18">
      <c r="B26" s="23"/>
      <c r="C26" s="312"/>
      <c r="D26" s="308"/>
      <c r="E26" s="309"/>
      <c r="F26" s="310"/>
      <c r="G26" s="312"/>
      <c r="H26" s="312"/>
      <c r="I26" s="312"/>
      <c r="J26" s="312"/>
      <c r="K26" s="312"/>
      <c r="L26" s="301"/>
      <c r="M26" s="301"/>
      <c r="N26" s="301"/>
      <c r="O26" s="301"/>
      <c r="P26" s="436"/>
    </row>
    <row r="27" spans="1:18">
      <c r="A27" s="6"/>
      <c r="B27" s="371"/>
      <c r="C27" s="371"/>
      <c r="D27" s="371"/>
      <c r="E27" s="370"/>
      <c r="F27" s="310"/>
      <c r="G27" s="312"/>
      <c r="H27" s="312"/>
      <c r="I27" s="312"/>
      <c r="J27" s="312"/>
      <c r="K27" s="312"/>
      <c r="L27" s="301"/>
      <c r="M27" s="301"/>
      <c r="N27" s="301"/>
      <c r="O27" s="437"/>
      <c r="P27" s="436"/>
    </row>
    <row r="28" spans="1:18">
      <c r="B28" s="7"/>
    </row>
    <row r="29" spans="1:18">
      <c r="B29" s="7"/>
    </row>
    <row r="30" spans="1:18">
      <c r="B30" s="182"/>
      <c r="C30" s="183"/>
      <c r="D30" s="184"/>
      <c r="E30" s="185"/>
      <c r="F30" s="186"/>
      <c r="G30" s="182"/>
      <c r="H30" s="182"/>
      <c r="I30" s="182"/>
      <c r="J30" s="182"/>
      <c r="K30" s="187"/>
      <c r="L30" s="188"/>
      <c r="M30" s="188"/>
      <c r="N30" s="188"/>
      <c r="O30" s="438"/>
      <c r="P30" s="188"/>
    </row>
    <row r="1048405" spans="3:19" s="6" customFormat="1">
      <c r="C1048405"/>
      <c r="D1048405" s="11"/>
      <c r="E1048405" s="11"/>
      <c r="F1048405" s="11"/>
      <c r="G1048405" s="11"/>
      <c r="K1048405" s="7"/>
      <c r="L1048405" s="8"/>
      <c r="M1048405" s="8"/>
      <c r="N1048405" s="8"/>
      <c r="O1048405"/>
      <c r="P1048405"/>
      <c r="Q1048405"/>
      <c r="R1048405"/>
      <c r="S1048405"/>
    </row>
  </sheetData>
  <autoFilter ref="A2:V25" xr:uid="{63321920-6B51-4EF3-828E-E82B8795E23E}"/>
  <mergeCells count="1">
    <mergeCell ref="A1:U1"/>
  </mergeCells>
  <pageMargins left="0.25" right="0.25" top="0.75" bottom="0.75" header="0.3" footer="0.3"/>
  <pageSetup paperSize="9" scale="1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CC9F-1FF2-4B3C-97ED-D1B594F93883}">
  <sheetPr>
    <pageSetUpPr fitToPage="1"/>
  </sheetPr>
  <dimension ref="A1:BV1048411"/>
  <sheetViews>
    <sheetView topLeftCell="A2" zoomScaleNormal="100" workbookViewId="0">
      <selection activeCell="K11" sqref="K11"/>
    </sheetView>
  </sheetViews>
  <sheetFormatPr defaultRowHeight="15"/>
  <cols>
    <col min="1" max="1" width="4.42578125" customWidth="1"/>
    <col min="2" max="2" width="13.140625" style="6" customWidth="1"/>
    <col min="3" max="3" width="29.28515625" customWidth="1"/>
    <col min="4" max="4" width="12.42578125" customWidth="1"/>
    <col min="5" max="5" width="8.42578125" customWidth="1"/>
    <col min="6" max="6" width="10.42578125" customWidth="1"/>
    <col min="7" max="7" width="12.42578125" customWidth="1"/>
    <col min="8" max="8" width="8.42578125" style="6" customWidth="1"/>
    <col min="9" max="9" width="10.42578125" style="6" bestFit="1" customWidth="1"/>
    <col min="10" max="10" width="10.42578125" style="6" customWidth="1"/>
    <col min="11" max="11" width="15.42578125" style="7" bestFit="1" customWidth="1"/>
    <col min="12" max="12" width="11.7109375" style="8" customWidth="1"/>
    <col min="13" max="13" width="21.42578125" style="8" customWidth="1"/>
    <col min="14" max="14" width="15" style="8" customWidth="1"/>
    <col min="15" max="15" width="14.5703125" customWidth="1"/>
    <col min="16" max="16" width="21.7109375" customWidth="1"/>
    <col min="17" max="17" width="12.42578125" customWidth="1"/>
    <col min="18" max="18" width="13.140625" customWidth="1"/>
    <col min="19" max="19" width="19.140625" customWidth="1"/>
    <col min="20" max="20" width="14" customWidth="1"/>
    <col min="21" max="21" width="9.140625" bestFit="1" customWidth="1"/>
  </cols>
  <sheetData>
    <row r="1" spans="1:74" ht="31.5" customHeight="1" thickBot="1">
      <c r="A1" s="608" t="s">
        <v>221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87"/>
    </row>
    <row r="2" spans="1:74" ht="65.45" customHeight="1" thickBot="1">
      <c r="A2" s="346" t="s">
        <v>1</v>
      </c>
      <c r="B2" s="451" t="s">
        <v>2</v>
      </c>
      <c r="C2" s="346" t="s">
        <v>3</v>
      </c>
      <c r="D2" s="346" t="s">
        <v>4</v>
      </c>
      <c r="E2" s="346" t="s">
        <v>5</v>
      </c>
      <c r="F2" s="346" t="s">
        <v>6</v>
      </c>
      <c r="G2" s="171" t="s">
        <v>7</v>
      </c>
      <c r="H2" s="346" t="s">
        <v>8</v>
      </c>
      <c r="I2" s="450" t="s">
        <v>9</v>
      </c>
      <c r="J2" s="450" t="s">
        <v>10</v>
      </c>
      <c r="K2" s="450" t="s">
        <v>11</v>
      </c>
      <c r="L2" s="450" t="s">
        <v>12</v>
      </c>
      <c r="M2" s="347" t="s">
        <v>13</v>
      </c>
      <c r="N2" s="346" t="s">
        <v>14</v>
      </c>
      <c r="O2" s="347" t="s">
        <v>15</v>
      </c>
      <c r="P2" s="346" t="s">
        <v>16</v>
      </c>
      <c r="Q2" s="347" t="s">
        <v>17</v>
      </c>
      <c r="R2" s="346" t="s">
        <v>18</v>
      </c>
      <c r="S2" s="452" t="s">
        <v>19</v>
      </c>
      <c r="T2" s="346" t="s">
        <v>20</v>
      </c>
      <c r="U2" s="346" t="s">
        <v>17</v>
      </c>
      <c r="V2" s="346" t="s">
        <v>21</v>
      </c>
    </row>
    <row r="3" spans="1:74" ht="45">
      <c r="A3" s="410">
        <v>1</v>
      </c>
      <c r="B3" s="99">
        <v>93188731</v>
      </c>
      <c r="C3" s="156" t="s">
        <v>139</v>
      </c>
      <c r="D3" s="393" t="s">
        <v>23</v>
      </c>
      <c r="E3" s="157">
        <v>16</v>
      </c>
      <c r="F3" s="99">
        <v>17.404</v>
      </c>
      <c r="G3" s="99">
        <v>16</v>
      </c>
      <c r="H3" s="99">
        <v>80</v>
      </c>
      <c r="I3" s="99" t="s">
        <v>24</v>
      </c>
      <c r="J3" s="391" t="s">
        <v>33</v>
      </c>
      <c r="K3" s="81">
        <v>46280</v>
      </c>
      <c r="L3" s="139">
        <v>46280</v>
      </c>
      <c r="M3" s="395" t="s">
        <v>222</v>
      </c>
      <c r="N3" s="414" t="s">
        <v>218</v>
      </c>
      <c r="O3" s="166">
        <v>630</v>
      </c>
      <c r="P3" s="453"/>
      <c r="Q3" s="380"/>
      <c r="R3" s="528">
        <f t="shared" ref="R3:R22" si="0">Q3/3.673</f>
        <v>0</v>
      </c>
      <c r="S3" s="181">
        <f t="shared" ref="S3:S22" si="1">(O3-R3)/O3</f>
        <v>1</v>
      </c>
      <c r="T3" s="572" t="s">
        <v>219</v>
      </c>
      <c r="U3" s="84">
        <v>450.85</v>
      </c>
      <c r="V3" s="84">
        <v>4848</v>
      </c>
    </row>
    <row r="4" spans="1:74">
      <c r="A4" s="70">
        <v>2</v>
      </c>
      <c r="B4" s="99">
        <v>93192640</v>
      </c>
      <c r="C4" s="156" t="s">
        <v>31</v>
      </c>
      <c r="D4" s="393" t="s">
        <v>23</v>
      </c>
      <c r="E4" s="157">
        <v>22.4</v>
      </c>
      <c r="F4" s="157">
        <v>22.4</v>
      </c>
      <c r="G4" s="468">
        <v>22.38</v>
      </c>
      <c r="H4" s="99"/>
      <c r="I4" s="138" t="s">
        <v>32</v>
      </c>
      <c r="J4" s="391" t="s">
        <v>33</v>
      </c>
      <c r="K4" s="81">
        <v>46267</v>
      </c>
      <c r="L4" s="139" t="s">
        <v>223</v>
      </c>
      <c r="M4" s="395" t="s">
        <v>63</v>
      </c>
      <c r="N4" s="136" t="s">
        <v>35</v>
      </c>
      <c r="O4" s="165">
        <v>600</v>
      </c>
      <c r="P4" s="372"/>
      <c r="Q4" s="152"/>
      <c r="R4" s="154">
        <f t="shared" si="0"/>
        <v>0</v>
      </c>
      <c r="S4" s="133">
        <f t="shared" si="1"/>
        <v>1</v>
      </c>
      <c r="T4" s="134"/>
      <c r="U4" s="66"/>
      <c r="V4" s="66"/>
    </row>
    <row r="5" spans="1:74">
      <c r="A5" s="70">
        <v>3</v>
      </c>
      <c r="B5" s="99">
        <v>93192641</v>
      </c>
      <c r="C5" s="156" t="s">
        <v>31</v>
      </c>
      <c r="D5" s="393" t="s">
        <v>23</v>
      </c>
      <c r="E5" s="157">
        <v>22.4</v>
      </c>
      <c r="F5" s="157">
        <v>22.4</v>
      </c>
      <c r="G5" s="468">
        <v>22.4</v>
      </c>
      <c r="H5" s="99"/>
      <c r="I5" s="138" t="s">
        <v>32</v>
      </c>
      <c r="J5" s="391" t="s">
        <v>33</v>
      </c>
      <c r="K5" s="81">
        <v>46279</v>
      </c>
      <c r="L5" s="139" t="s">
        <v>223</v>
      </c>
      <c r="M5" s="395" t="s">
        <v>63</v>
      </c>
      <c r="N5" s="136" t="s">
        <v>35</v>
      </c>
      <c r="O5" s="165">
        <v>600</v>
      </c>
      <c r="P5" s="372"/>
      <c r="Q5" s="152"/>
      <c r="R5" s="154">
        <f t="shared" si="0"/>
        <v>0</v>
      </c>
      <c r="S5" s="132">
        <f t="shared" si="1"/>
        <v>1</v>
      </c>
      <c r="T5" s="349"/>
      <c r="U5" s="66"/>
      <c r="V5" s="66"/>
    </row>
    <row r="6" spans="1:74">
      <c r="A6" s="173">
        <v>4</v>
      </c>
      <c r="B6" s="153">
        <v>93213623</v>
      </c>
      <c r="C6" s="529" t="s">
        <v>58</v>
      </c>
      <c r="D6" s="447" t="s">
        <v>23</v>
      </c>
      <c r="E6" s="151">
        <v>22.4</v>
      </c>
      <c r="F6" s="151">
        <v>22.4</v>
      </c>
      <c r="G6" s="530"/>
      <c r="H6" s="531"/>
      <c r="I6" s="153" t="s">
        <v>32</v>
      </c>
      <c r="J6" s="440" t="s">
        <v>33</v>
      </c>
      <c r="K6" s="596">
        <v>46286</v>
      </c>
      <c r="L6" s="135">
        <v>46287</v>
      </c>
      <c r="M6" s="109" t="s">
        <v>224</v>
      </c>
      <c r="N6" s="160" t="s">
        <v>40</v>
      </c>
      <c r="O6" s="532">
        <v>2150</v>
      </c>
      <c r="P6" s="326"/>
      <c r="Q6" s="380"/>
      <c r="R6" s="533">
        <f t="shared" si="0"/>
        <v>0</v>
      </c>
      <c r="S6" s="133">
        <f t="shared" si="1"/>
        <v>1</v>
      </c>
      <c r="T6" s="381"/>
      <c r="U6" s="69"/>
      <c r="V6" s="69"/>
    </row>
    <row r="7" spans="1:74" s="19" customFormat="1">
      <c r="A7" s="21">
        <v>5</v>
      </c>
      <c r="B7" s="440">
        <v>93217176</v>
      </c>
      <c r="C7" s="149" t="s">
        <v>31</v>
      </c>
      <c r="D7" s="447" t="s">
        <v>23</v>
      </c>
      <c r="E7" s="151">
        <v>22.4</v>
      </c>
      <c r="F7" s="151">
        <v>22.4</v>
      </c>
      <c r="G7" s="465"/>
      <c r="H7" s="440"/>
      <c r="I7" s="153" t="s">
        <v>32</v>
      </c>
      <c r="J7" s="440" t="s">
        <v>33</v>
      </c>
      <c r="K7" s="596">
        <v>46286</v>
      </c>
      <c r="L7" s="135">
        <v>46287</v>
      </c>
      <c r="M7" s="439" t="s">
        <v>63</v>
      </c>
      <c r="N7" s="160" t="s">
        <v>35</v>
      </c>
      <c r="O7" s="441">
        <v>600</v>
      </c>
      <c r="P7" s="442"/>
      <c r="Q7" s="444"/>
      <c r="R7" s="534">
        <f t="shared" si="0"/>
        <v>0</v>
      </c>
      <c r="S7" s="133">
        <f t="shared" si="1"/>
        <v>1</v>
      </c>
      <c r="T7" s="459"/>
      <c r="U7" s="385"/>
      <c r="V7" s="385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390"/>
    </row>
    <row r="8" spans="1:74">
      <c r="A8" s="443">
        <v>6</v>
      </c>
      <c r="B8" s="424">
        <v>93217178</v>
      </c>
      <c r="C8" s="149" t="s">
        <v>31</v>
      </c>
      <c r="D8" s="447" t="s">
        <v>23</v>
      </c>
      <c r="E8" s="151">
        <v>22.4</v>
      </c>
      <c r="F8" s="151">
        <v>22.4</v>
      </c>
      <c r="G8" s="465"/>
      <c r="H8" s="440"/>
      <c r="I8" s="153" t="s">
        <v>32</v>
      </c>
      <c r="J8" s="440" t="s">
        <v>33</v>
      </c>
      <c r="K8" s="100" t="s">
        <v>132</v>
      </c>
      <c r="L8" s="135" t="s">
        <v>223</v>
      </c>
      <c r="M8" s="439" t="s">
        <v>63</v>
      </c>
      <c r="N8" s="160" t="s">
        <v>35</v>
      </c>
      <c r="O8" s="441">
        <v>600</v>
      </c>
      <c r="P8" s="382"/>
      <c r="Q8" s="445"/>
      <c r="R8" s="534">
        <f t="shared" si="0"/>
        <v>0</v>
      </c>
      <c r="S8" s="133">
        <f t="shared" si="1"/>
        <v>1</v>
      </c>
      <c r="T8" s="383"/>
      <c r="U8" s="384"/>
      <c r="V8" s="384"/>
    </row>
    <row r="9" spans="1:74" ht="14.25" customHeight="1">
      <c r="A9" s="67">
        <v>7</v>
      </c>
      <c r="B9" s="174">
        <v>93217181</v>
      </c>
      <c r="C9" s="149" t="s">
        <v>31</v>
      </c>
      <c r="D9" s="447" t="s">
        <v>23</v>
      </c>
      <c r="E9" s="151">
        <v>22.4</v>
      </c>
      <c r="F9" s="151">
        <v>22.4</v>
      </c>
      <c r="G9" s="535"/>
      <c r="H9" s="535"/>
      <c r="I9" s="153" t="s">
        <v>32</v>
      </c>
      <c r="J9" s="440" t="s">
        <v>33</v>
      </c>
      <c r="K9" s="100" t="s">
        <v>132</v>
      </c>
      <c r="L9" s="135" t="s">
        <v>223</v>
      </c>
      <c r="M9" s="439" t="s">
        <v>63</v>
      </c>
      <c r="N9" s="160" t="s">
        <v>35</v>
      </c>
      <c r="O9" s="441">
        <v>600</v>
      </c>
      <c r="P9" s="536"/>
      <c r="Q9" s="527"/>
      <c r="R9" s="537">
        <f t="shared" si="0"/>
        <v>0</v>
      </c>
      <c r="S9" s="133">
        <f t="shared" si="1"/>
        <v>1</v>
      </c>
      <c r="T9" s="134"/>
      <c r="U9" s="66"/>
      <c r="V9" s="66"/>
    </row>
    <row r="10" spans="1:74" s="230" customFormat="1">
      <c r="A10" s="174">
        <v>8</v>
      </c>
      <c r="B10" s="174">
        <v>93217210</v>
      </c>
      <c r="C10" s="538" t="s">
        <v>225</v>
      </c>
      <c r="D10" s="447" t="s">
        <v>23</v>
      </c>
      <c r="E10" s="539">
        <v>19.8</v>
      </c>
      <c r="F10" s="539">
        <v>21.053999999999998</v>
      </c>
      <c r="G10" s="540">
        <v>19.8</v>
      </c>
      <c r="H10" s="540">
        <v>22</v>
      </c>
      <c r="I10" s="541" t="s">
        <v>226</v>
      </c>
      <c r="J10" s="440" t="s">
        <v>33</v>
      </c>
      <c r="K10" s="596">
        <v>46286</v>
      </c>
      <c r="L10" s="545">
        <v>46292</v>
      </c>
      <c r="M10" s="592" t="s">
        <v>224</v>
      </c>
      <c r="N10" s="160" t="s">
        <v>35</v>
      </c>
      <c r="O10" s="542">
        <v>4300</v>
      </c>
      <c r="P10" s="507"/>
      <c r="Q10" s="508"/>
      <c r="R10" s="543">
        <f t="shared" si="0"/>
        <v>0</v>
      </c>
      <c r="S10" s="510">
        <f t="shared" si="1"/>
        <v>1</v>
      </c>
      <c r="T10" s="511"/>
      <c r="U10" s="512"/>
      <c r="V10" s="512"/>
    </row>
    <row r="11" spans="1:74" s="230" customFormat="1">
      <c r="A11" s="544">
        <v>9</v>
      </c>
      <c r="B11" s="540">
        <v>93217208</v>
      </c>
      <c r="C11" s="538" t="s">
        <v>209</v>
      </c>
      <c r="D11" s="447" t="s">
        <v>23</v>
      </c>
      <c r="E11" s="539">
        <v>22.4</v>
      </c>
      <c r="F11" s="540">
        <v>22.4</v>
      </c>
      <c r="G11" s="174"/>
      <c r="H11" s="174"/>
      <c r="I11" s="153" t="s">
        <v>32</v>
      </c>
      <c r="J11" s="440" t="s">
        <v>33</v>
      </c>
      <c r="K11" s="597">
        <v>46286</v>
      </c>
      <c r="L11" s="545">
        <v>46292</v>
      </c>
      <c r="M11" s="321" t="s">
        <v>224</v>
      </c>
      <c r="N11" s="160" t="s">
        <v>35</v>
      </c>
      <c r="O11" s="546">
        <v>3700</v>
      </c>
      <c r="P11" s="442"/>
      <c r="Q11" s="547"/>
      <c r="R11" s="548">
        <v>0</v>
      </c>
      <c r="S11" s="473" t="s">
        <v>57</v>
      </c>
      <c r="T11" s="460"/>
      <c r="U11" s="456"/>
      <c r="V11" s="456"/>
    </row>
    <row r="12" spans="1:74" s="83" customFormat="1">
      <c r="A12" s="173">
        <v>10</v>
      </c>
      <c r="B12" s="174"/>
      <c r="C12" s="549"/>
      <c r="D12" s="523"/>
      <c r="E12" s="245"/>
      <c r="F12" s="21"/>
      <c r="G12" s="21"/>
      <c r="H12" s="541"/>
      <c r="I12" s="541"/>
      <c r="J12" s="440"/>
      <c r="K12" s="100"/>
      <c r="L12" s="439"/>
      <c r="M12" s="21"/>
      <c r="N12" s="550"/>
      <c r="O12" s="441"/>
      <c r="P12" s="442"/>
      <c r="Q12" s="547"/>
      <c r="R12" s="548">
        <v>0</v>
      </c>
      <c r="S12" s="473" t="s">
        <v>57</v>
      </c>
      <c r="T12" s="134"/>
      <c r="U12" s="66"/>
      <c r="V12" s="66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 s="101"/>
    </row>
    <row r="13" spans="1:74">
      <c r="A13" s="173">
        <v>11</v>
      </c>
      <c r="B13" s="551"/>
      <c r="C13" s="102"/>
      <c r="D13" s="523"/>
      <c r="E13" s="93"/>
      <c r="F13" s="167"/>
      <c r="G13" s="167"/>
      <c r="H13" s="159"/>
      <c r="I13" s="159"/>
      <c r="J13" s="440"/>
      <c r="K13" s="109"/>
      <c r="L13" s="135"/>
      <c r="M13" s="100"/>
      <c r="N13" s="160"/>
      <c r="O13" s="552"/>
      <c r="P13" s="536"/>
      <c r="Q13" s="527"/>
      <c r="R13" s="533">
        <f t="shared" si="0"/>
        <v>0</v>
      </c>
      <c r="S13" s="133" t="e">
        <f t="shared" si="1"/>
        <v>#DIV/0!</v>
      </c>
      <c r="T13" s="134"/>
      <c r="U13" s="66"/>
      <c r="V13" s="66"/>
    </row>
    <row r="14" spans="1:74" ht="14.25" customHeight="1">
      <c r="A14" s="173">
        <v>12</v>
      </c>
      <c r="B14" s="148"/>
      <c r="C14" s="149"/>
      <c r="D14" s="523"/>
      <c r="E14" s="322"/>
      <c r="F14" s="322"/>
      <c r="G14" s="153"/>
      <c r="H14" s="153"/>
      <c r="I14" s="153"/>
      <c r="J14" s="440"/>
      <c r="K14" s="100"/>
      <c r="L14" s="369"/>
      <c r="M14" s="100"/>
      <c r="N14" s="321"/>
      <c r="O14" s="152"/>
      <c r="P14" s="326"/>
      <c r="Q14" s="553"/>
      <c r="R14" s="533">
        <f t="shared" si="0"/>
        <v>0</v>
      </c>
      <c r="S14" s="133" t="e">
        <f t="shared" si="1"/>
        <v>#DIV/0!</v>
      </c>
      <c r="T14" s="134"/>
      <c r="U14" s="66"/>
      <c r="V14" s="66"/>
    </row>
    <row r="15" spans="1:74">
      <c r="A15" s="173">
        <v>13</v>
      </c>
      <c r="B15" s="174"/>
      <c r="C15" s="149"/>
      <c r="D15" s="523"/>
      <c r="E15" s="151"/>
      <c r="F15" s="148"/>
      <c r="G15" s="148"/>
      <c r="H15" s="148"/>
      <c r="I15" s="148"/>
      <c r="J15" s="440"/>
      <c r="K15" s="109"/>
      <c r="L15" s="135"/>
      <c r="M15" s="439"/>
      <c r="N15" s="160"/>
      <c r="O15" s="152"/>
      <c r="P15" s="536"/>
      <c r="Q15" s="527"/>
      <c r="R15" s="533">
        <f t="shared" si="0"/>
        <v>0</v>
      </c>
      <c r="S15" s="133" t="e">
        <f t="shared" si="1"/>
        <v>#DIV/0!</v>
      </c>
      <c r="T15" s="134"/>
      <c r="U15" s="66"/>
      <c r="V15" s="66"/>
    </row>
    <row r="16" spans="1:74">
      <c r="A16" s="173">
        <v>14</v>
      </c>
      <c r="C16" s="529"/>
      <c r="D16" s="557"/>
      <c r="E16" s="322"/>
      <c r="F16" s="153"/>
      <c r="G16" s="153"/>
      <c r="H16" s="153"/>
      <c r="I16" s="153"/>
      <c r="J16" s="558"/>
      <c r="K16" s="109"/>
      <c r="L16" s="135"/>
      <c r="M16" s="559"/>
      <c r="N16" s="160"/>
      <c r="O16" s="532"/>
      <c r="P16" s="536"/>
      <c r="Q16" s="152"/>
      <c r="R16" s="533">
        <f t="shared" si="0"/>
        <v>0</v>
      </c>
      <c r="S16" s="133" t="e">
        <f t="shared" si="1"/>
        <v>#DIV/0!</v>
      </c>
      <c r="T16" s="134"/>
      <c r="U16" s="66"/>
      <c r="V16" s="66"/>
    </row>
    <row r="17" spans="1:22">
      <c r="A17" s="554">
        <v>15</v>
      </c>
      <c r="B17" s="481"/>
      <c r="C17" s="19"/>
      <c r="D17" s="19"/>
      <c r="E17" s="19"/>
      <c r="F17" s="19"/>
      <c r="G17" s="19"/>
      <c r="H17" s="481"/>
      <c r="I17" s="481"/>
      <c r="J17" s="481"/>
      <c r="K17" s="479"/>
      <c r="L17" s="480"/>
      <c r="M17" s="480"/>
      <c r="N17" s="545"/>
      <c r="O17" s="547"/>
      <c r="P17" s="555"/>
      <c r="Q17" s="152"/>
      <c r="R17" s="154">
        <f t="shared" si="0"/>
        <v>0</v>
      </c>
      <c r="S17" s="181" t="e">
        <f t="shared" si="1"/>
        <v>#DIV/0!</v>
      </c>
      <c r="T17" s="65"/>
      <c r="U17" s="66"/>
      <c r="V17" s="66"/>
    </row>
    <row r="18" spans="1:22">
      <c r="A18" s="554">
        <v>16</v>
      </c>
      <c r="B18" s="440"/>
      <c r="C18" s="446"/>
      <c r="D18" s="523"/>
      <c r="E18" s="567"/>
      <c r="F18" s="440"/>
      <c r="G18" s="440"/>
      <c r="H18" s="440"/>
      <c r="I18" s="440"/>
      <c r="J18" s="440"/>
      <c r="K18" s="439"/>
      <c r="L18" s="439"/>
      <c r="M18" s="439"/>
      <c r="N18" s="545"/>
      <c r="O18" s="568"/>
      <c r="P18" s="556"/>
      <c r="Q18" s="432"/>
      <c r="R18" s="426">
        <f t="shared" si="0"/>
        <v>0</v>
      </c>
      <c r="S18" s="133" t="e">
        <f t="shared" si="1"/>
        <v>#DIV/0!</v>
      </c>
      <c r="T18" s="65"/>
      <c r="U18" s="66"/>
      <c r="V18" s="66"/>
    </row>
    <row r="19" spans="1:22">
      <c r="A19" s="173">
        <v>17</v>
      </c>
      <c r="B19" s="560"/>
      <c r="C19" s="561"/>
      <c r="D19" s="562"/>
      <c r="E19" s="563"/>
      <c r="F19" s="564"/>
      <c r="G19" s="540"/>
      <c r="H19" s="544"/>
      <c r="I19" s="544"/>
      <c r="J19" s="540"/>
      <c r="K19" s="565"/>
      <c r="L19" s="566"/>
      <c r="M19" s="425"/>
      <c r="N19" s="565"/>
      <c r="O19" s="428"/>
      <c r="P19" s="430"/>
      <c r="Q19" s="432"/>
      <c r="R19" s="426">
        <f t="shared" si="0"/>
        <v>0</v>
      </c>
      <c r="S19" s="133" t="e">
        <f t="shared" si="1"/>
        <v>#DIV/0!</v>
      </c>
      <c r="T19" s="65"/>
      <c r="U19" s="66"/>
      <c r="V19" s="66"/>
    </row>
    <row r="20" spans="1:22">
      <c r="A20" s="173">
        <v>18</v>
      </c>
      <c r="B20" s="177"/>
      <c r="C20" s="102"/>
      <c r="D20" s="323"/>
      <c r="E20" s="93"/>
      <c r="F20" s="167"/>
      <c r="G20" s="174"/>
      <c r="H20" s="174"/>
      <c r="I20" s="174"/>
      <c r="J20" s="159"/>
      <c r="K20" s="327"/>
      <c r="L20" s="135"/>
      <c r="M20" s="100"/>
      <c r="N20" s="324"/>
      <c r="O20" s="433"/>
      <c r="P20" s="430"/>
      <c r="Q20" s="432"/>
      <c r="R20" s="426">
        <f t="shared" si="0"/>
        <v>0</v>
      </c>
      <c r="S20" s="133" t="e">
        <f t="shared" si="1"/>
        <v>#DIV/0!</v>
      </c>
      <c r="T20" s="65"/>
      <c r="U20" s="66"/>
      <c r="V20" s="66"/>
    </row>
    <row r="21" spans="1:22">
      <c r="A21" s="173">
        <v>19</v>
      </c>
      <c r="B21" s="177"/>
      <c r="C21" s="175"/>
      <c r="D21" s="98"/>
      <c r="E21" s="158"/>
      <c r="F21" s="179"/>
      <c r="G21" s="174"/>
      <c r="H21" s="159"/>
      <c r="I21" s="159"/>
      <c r="J21" s="174"/>
      <c r="K21" s="109"/>
      <c r="L21" s="135"/>
      <c r="M21" s="100"/>
      <c r="N21" s="160"/>
      <c r="O21" s="434"/>
      <c r="P21" s="430"/>
      <c r="Q21" s="432"/>
      <c r="R21" s="426">
        <f t="shared" si="0"/>
        <v>0</v>
      </c>
      <c r="S21" s="133" t="e">
        <f t="shared" si="1"/>
        <v>#DIV/0!</v>
      </c>
      <c r="T21" s="65"/>
      <c r="U21" s="66"/>
      <c r="V21" s="66"/>
    </row>
    <row r="22" spans="1:22">
      <c r="A22" s="67"/>
      <c r="B22" s="177"/>
      <c r="C22" s="149"/>
      <c r="D22" s="150"/>
      <c r="E22" s="151"/>
      <c r="F22" s="180"/>
      <c r="G22" s="148"/>
      <c r="H22" s="148"/>
      <c r="I22" s="148"/>
      <c r="J22" s="148"/>
      <c r="K22" s="100"/>
      <c r="L22" s="100"/>
      <c r="M22" s="100"/>
      <c r="N22" s="100"/>
      <c r="O22" s="427"/>
      <c r="P22" s="430"/>
      <c r="Q22" s="432"/>
      <c r="R22" s="435">
        <f t="shared" si="0"/>
        <v>0</v>
      </c>
      <c r="S22" s="133" t="e">
        <f t="shared" si="1"/>
        <v>#DIV/0!</v>
      </c>
      <c r="T22" s="102"/>
      <c r="U22" s="98"/>
      <c r="V22" s="93"/>
    </row>
    <row r="23" spans="1:22" s="31" customFormat="1" ht="16.5" thickBot="1">
      <c r="A23" s="141">
        <f>COUNT(A3:A22)</f>
        <v>19</v>
      </c>
      <c r="B23" s="22"/>
      <c r="E23" s="142">
        <f>SUM(E3:E22)</f>
        <v>192.60000000000002</v>
      </c>
      <c r="G23" s="466">
        <f>SUM(G3:G22)</f>
        <v>80.58</v>
      </c>
      <c r="H23" s="22"/>
      <c r="I23" s="22"/>
      <c r="J23" s="22"/>
      <c r="K23" s="144"/>
      <c r="L23" s="145"/>
      <c r="M23" s="145"/>
      <c r="N23" s="94"/>
      <c r="P23" s="146"/>
      <c r="Q23" s="147">
        <f>SUM(Q3:Q22)</f>
        <v>0</v>
      </c>
      <c r="R23" s="145"/>
    </row>
    <row r="24" spans="1:22">
      <c r="A24" s="6" t="s">
        <v>70</v>
      </c>
      <c r="C24" s="6"/>
      <c r="D24" s="7"/>
      <c r="E24" s="8"/>
      <c r="F24" s="8"/>
      <c r="G24" s="6"/>
      <c r="H24"/>
      <c r="I24"/>
      <c r="J24"/>
      <c r="K24"/>
      <c r="M24"/>
    </row>
    <row r="25" spans="1:22">
      <c r="A25" s="6"/>
      <c r="B25" s="178"/>
      <c r="C25" s="6" t="s">
        <v>157</v>
      </c>
      <c r="D25" s="7"/>
      <c r="E25" s="8"/>
      <c r="F25" s="8"/>
      <c r="G25" s="6"/>
      <c r="H25"/>
      <c r="I25"/>
      <c r="J25"/>
      <c r="K25"/>
      <c r="L25"/>
      <c r="M25"/>
      <c r="N25"/>
    </row>
    <row r="26" spans="1:22">
      <c r="A26" s="6"/>
      <c r="B26" s="454"/>
      <c r="C26" s="6" t="s">
        <v>220</v>
      </c>
      <c r="D26" s="7"/>
      <c r="E26" s="8"/>
      <c r="F26" s="9" t="s">
        <v>72</v>
      </c>
      <c r="G26" s="6"/>
      <c r="H26"/>
      <c r="I26"/>
      <c r="J26"/>
      <c r="K26"/>
      <c r="L26"/>
      <c r="M26"/>
      <c r="N26"/>
    </row>
    <row r="27" spans="1:22">
      <c r="A27" s="7"/>
      <c r="B27" s="8"/>
      <c r="C27" s="8"/>
      <c r="D27" s="8"/>
      <c r="F27" t="s">
        <v>73</v>
      </c>
      <c r="H27"/>
      <c r="I27"/>
      <c r="J27"/>
      <c r="K27"/>
      <c r="L27"/>
      <c r="M27"/>
      <c r="N27"/>
    </row>
    <row r="28" spans="1:22">
      <c r="A28" s="7"/>
      <c r="B28" s="8"/>
      <c r="C28" s="8"/>
      <c r="D28" s="8"/>
      <c r="F28" t="s">
        <v>74</v>
      </c>
      <c r="H28"/>
      <c r="I28"/>
      <c r="J28"/>
      <c r="K28"/>
      <c r="L28"/>
      <c r="M28"/>
      <c r="N28"/>
    </row>
    <row r="29" spans="1:22">
      <c r="A29" s="7"/>
      <c r="B29" s="8"/>
      <c r="C29" s="8"/>
      <c r="D29" s="8"/>
      <c r="F29" t="s">
        <v>75</v>
      </c>
      <c r="H29"/>
      <c r="I29"/>
      <c r="J29"/>
      <c r="K29"/>
      <c r="L29"/>
      <c r="M29"/>
      <c r="N29"/>
    </row>
    <row r="30" spans="1:22">
      <c r="F30" t="s">
        <v>76</v>
      </c>
      <c r="N30"/>
    </row>
    <row r="31" spans="1:22" ht="14.1" customHeight="1">
      <c r="A31" s="10" t="s">
        <v>77</v>
      </c>
      <c r="B31" s="10"/>
      <c r="C31" s="10"/>
      <c r="F31" t="s">
        <v>78</v>
      </c>
    </row>
    <row r="32" spans="1:22">
      <c r="B32" s="23"/>
      <c r="C32" s="312"/>
      <c r="D32" s="308"/>
      <c r="E32" s="309"/>
      <c r="F32" s="310"/>
      <c r="G32" s="312"/>
      <c r="H32" s="312"/>
      <c r="I32" s="312"/>
      <c r="J32" s="312"/>
      <c r="K32" s="312"/>
      <c r="L32" s="301"/>
      <c r="M32" s="301"/>
      <c r="N32" s="301"/>
      <c r="O32" s="301"/>
      <c r="P32" s="436"/>
    </row>
    <row r="33" spans="1:16">
      <c r="A33" s="6"/>
      <c r="B33" s="371"/>
      <c r="C33" s="371"/>
      <c r="D33" s="371"/>
      <c r="E33" s="370"/>
      <c r="F33" s="310"/>
      <c r="G33" s="312"/>
      <c r="H33" s="312"/>
      <c r="I33" s="312"/>
      <c r="J33" s="312"/>
      <c r="K33" s="312"/>
      <c r="L33" s="301"/>
      <c r="M33" s="301"/>
      <c r="N33" s="301"/>
      <c r="O33" s="437"/>
      <c r="P33" s="436"/>
    </row>
    <row r="34" spans="1:16">
      <c r="B34" s="7"/>
    </row>
    <row r="35" spans="1:16">
      <c r="B35" s="7"/>
    </row>
    <row r="36" spans="1:16">
      <c r="B36" s="182"/>
      <c r="C36" s="183"/>
      <c r="D36" s="184"/>
      <c r="E36" s="185"/>
      <c r="F36" s="186"/>
      <c r="G36" s="182"/>
      <c r="H36" s="182"/>
      <c r="I36" s="182"/>
      <c r="J36" s="182"/>
      <c r="K36" s="187"/>
      <c r="L36" s="188"/>
      <c r="M36" s="188"/>
      <c r="N36" s="188"/>
      <c r="O36" s="438"/>
      <c r="P36" s="188"/>
    </row>
    <row r="1048411" spans="3:19" s="6" customFormat="1">
      <c r="C1048411"/>
      <c r="D1048411" s="11"/>
      <c r="E1048411" s="11"/>
      <c r="F1048411" s="11"/>
      <c r="G1048411" s="11"/>
      <c r="K1048411" s="7"/>
      <c r="L1048411" s="8"/>
      <c r="M1048411" s="8"/>
      <c r="N1048411" s="8"/>
      <c r="O1048411"/>
      <c r="P1048411"/>
      <c r="Q1048411"/>
      <c r="R1048411"/>
      <c r="S1048411"/>
    </row>
  </sheetData>
  <autoFilter ref="A2:V31" xr:uid="{63321920-6B51-4EF3-828E-E82B8795E23E}"/>
  <mergeCells count="1">
    <mergeCell ref="A1:U1"/>
  </mergeCells>
  <pageMargins left="0.25" right="0.25" top="0.75" bottom="0.75" header="0.3" footer="0.3"/>
  <pageSetup paperSize="9" scale="1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C9AE-048D-4B39-BCE5-F73C87EB6116}">
  <sheetPr>
    <pageSetUpPr fitToPage="1"/>
  </sheetPr>
  <dimension ref="A1:U213"/>
  <sheetViews>
    <sheetView tabSelected="1" zoomScaleNormal="100" workbookViewId="0">
      <pane ySplit="4" topLeftCell="A109" activePane="bottomLeft" state="frozen"/>
      <selection activeCell="B16" sqref="B16"/>
      <selection pane="bottomLeft" activeCell="K124" sqref="K124"/>
    </sheetView>
  </sheetViews>
  <sheetFormatPr defaultColWidth="9.140625" defaultRowHeight="15"/>
  <cols>
    <col min="1" max="1" width="5.42578125" customWidth="1"/>
    <col min="2" max="2" width="22.140625" bestFit="1" customWidth="1"/>
    <col min="3" max="3" width="3.28515625" hidden="1" customWidth="1"/>
    <col min="4" max="4" width="10.5703125" customWidth="1"/>
    <col min="5" max="5" width="12.140625" customWidth="1"/>
    <col min="6" max="6" width="12" customWidth="1"/>
    <col min="7" max="7" width="12.28515625" customWidth="1"/>
    <col min="8" max="8" width="9.42578125" customWidth="1"/>
    <col min="9" max="9" width="12.42578125" bestFit="1" customWidth="1"/>
    <col min="10" max="10" width="14.42578125" style="22" bestFit="1" customWidth="1"/>
    <col min="11" max="11" width="11.85546875" customWidth="1"/>
    <col min="12" max="12" width="10.85546875" style="7" bestFit="1" customWidth="1"/>
    <col min="13" max="13" width="14.5703125" customWidth="1"/>
    <col min="14" max="14" width="15.42578125" customWidth="1"/>
    <col min="15" max="15" width="13.42578125" customWidth="1"/>
    <col min="16" max="16" width="13" customWidth="1"/>
    <col min="17" max="17" width="16.42578125" bestFit="1" customWidth="1"/>
    <col min="18" max="18" width="31.5703125" customWidth="1"/>
    <col min="19" max="19" width="16.42578125" customWidth="1"/>
    <col min="20" max="20" width="9.5703125" bestFit="1" customWidth="1"/>
    <col min="21" max="21" width="10.5703125" bestFit="1" customWidth="1"/>
  </cols>
  <sheetData>
    <row r="1" spans="1:21" ht="18.75">
      <c r="A1" s="629" t="s">
        <v>227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1"/>
      <c r="O1" s="61"/>
      <c r="Q1" s="12"/>
      <c r="R1" t="s">
        <v>228</v>
      </c>
      <c r="S1" s="64"/>
      <c r="T1" t="s">
        <v>229</v>
      </c>
    </row>
    <row r="2" spans="1:21" ht="15.75">
      <c r="A2" s="631" t="s">
        <v>230</v>
      </c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2"/>
      <c r="O2" s="62"/>
      <c r="Q2" s="15"/>
      <c r="R2" t="s">
        <v>231</v>
      </c>
      <c r="S2" s="318"/>
      <c r="T2" t="s">
        <v>232</v>
      </c>
    </row>
    <row r="3" spans="1:21" ht="15.7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62"/>
      <c r="O3" s="62"/>
      <c r="S3" t="s">
        <v>233</v>
      </c>
      <c r="T3" t="s">
        <v>233</v>
      </c>
    </row>
    <row r="4" spans="1:21" ht="13.35" customHeight="1">
      <c r="A4" s="16" t="s">
        <v>234</v>
      </c>
      <c r="B4" s="633" t="s">
        <v>235</v>
      </c>
      <c r="C4" s="634"/>
      <c r="D4" s="5" t="s">
        <v>236</v>
      </c>
      <c r="E4" s="5" t="s">
        <v>237</v>
      </c>
      <c r="F4" s="5" t="s">
        <v>238</v>
      </c>
      <c r="G4" s="5" t="s">
        <v>239</v>
      </c>
      <c r="H4" s="17" t="s">
        <v>240</v>
      </c>
      <c r="I4" s="5" t="s">
        <v>241</v>
      </c>
      <c r="J4" s="5" t="s">
        <v>242</v>
      </c>
      <c r="K4" s="5" t="s">
        <v>243</v>
      </c>
      <c r="L4" s="5" t="s">
        <v>244</v>
      </c>
      <c r="M4" s="5" t="s">
        <v>245</v>
      </c>
      <c r="N4" s="18" t="s">
        <v>246</v>
      </c>
      <c r="O4" s="18" t="s">
        <v>242</v>
      </c>
      <c r="P4" s="18" t="s">
        <v>247</v>
      </c>
      <c r="R4" s="18" t="s">
        <v>248</v>
      </c>
      <c r="S4" s="18" t="s">
        <v>249</v>
      </c>
      <c r="T4" s="18" t="s">
        <v>250</v>
      </c>
      <c r="U4" s="18" t="s">
        <v>251</v>
      </c>
    </row>
    <row r="5" spans="1:21">
      <c r="A5" s="421">
        <v>1</v>
      </c>
      <c r="B5" s="419" t="s">
        <v>252</v>
      </c>
      <c r="C5" s="91"/>
      <c r="D5" s="88"/>
      <c r="E5" s="161"/>
      <c r="F5" s="90" t="s">
        <v>253</v>
      </c>
      <c r="G5" s="162">
        <v>4</v>
      </c>
      <c r="H5" s="255">
        <v>21.082999999999998</v>
      </c>
      <c r="I5" s="92">
        <v>21.37</v>
      </c>
      <c r="J5" s="118">
        <v>46032</v>
      </c>
      <c r="K5" s="114">
        <v>57252174</v>
      </c>
      <c r="L5" s="120">
        <v>92784867</v>
      </c>
      <c r="M5" s="88" t="s">
        <v>254</v>
      </c>
      <c r="R5" s="12" t="s">
        <v>255</v>
      </c>
      <c r="S5" s="202">
        <v>6531</v>
      </c>
      <c r="T5" s="12">
        <v>9</v>
      </c>
    </row>
    <row r="6" spans="1:21">
      <c r="A6" s="421">
        <v>2</v>
      </c>
      <c r="B6" s="120"/>
      <c r="C6" s="88"/>
      <c r="D6" s="88"/>
      <c r="E6" s="161"/>
      <c r="F6" s="90" t="s">
        <v>253</v>
      </c>
      <c r="G6" s="162"/>
      <c r="H6" s="255">
        <v>21.236999999999998</v>
      </c>
      <c r="I6" s="92">
        <v>21.32</v>
      </c>
      <c r="J6" s="118">
        <v>46032</v>
      </c>
      <c r="K6" s="114">
        <v>57252174</v>
      </c>
      <c r="L6" s="120">
        <v>92784868</v>
      </c>
      <c r="M6" s="88" t="s">
        <v>256</v>
      </c>
    </row>
    <row r="7" spans="1:21">
      <c r="A7" s="421">
        <v>3</v>
      </c>
      <c r="B7" s="120"/>
      <c r="C7" s="88"/>
      <c r="D7" s="88"/>
      <c r="E7" s="161"/>
      <c r="F7" s="90" t="s">
        <v>253</v>
      </c>
      <c r="G7" s="162"/>
      <c r="H7" s="255">
        <v>21.818000000000001</v>
      </c>
      <c r="I7" s="92">
        <v>21.81</v>
      </c>
      <c r="J7" s="118">
        <v>46034</v>
      </c>
      <c r="K7" s="114">
        <v>57252174</v>
      </c>
      <c r="L7" s="120">
        <v>92784870</v>
      </c>
      <c r="M7" s="88" t="s">
        <v>257</v>
      </c>
    </row>
    <row r="8" spans="1:21">
      <c r="A8" s="421">
        <v>4</v>
      </c>
      <c r="B8" s="120"/>
      <c r="C8" s="88"/>
      <c r="D8" s="88"/>
      <c r="E8" s="161"/>
      <c r="F8" s="90" t="s">
        <v>253</v>
      </c>
      <c r="G8" s="162"/>
      <c r="H8" s="255">
        <v>21.791</v>
      </c>
      <c r="I8" s="92">
        <v>21.69</v>
      </c>
      <c r="J8" s="118">
        <v>46034</v>
      </c>
      <c r="K8" s="114">
        <v>57252174</v>
      </c>
      <c r="L8" s="120">
        <v>92784871</v>
      </c>
      <c r="M8" s="88" t="s">
        <v>258</v>
      </c>
    </row>
    <row r="9" spans="1:21">
      <c r="A9" s="421">
        <v>5</v>
      </c>
      <c r="B9" s="419" t="s">
        <v>259</v>
      </c>
      <c r="C9" s="91"/>
      <c r="D9" s="88"/>
      <c r="E9" s="161"/>
      <c r="F9" s="90" t="s">
        <v>253</v>
      </c>
      <c r="G9" s="162">
        <v>4</v>
      </c>
      <c r="H9" s="255">
        <v>21.709</v>
      </c>
      <c r="I9" s="92">
        <v>21.71</v>
      </c>
      <c r="J9" s="118">
        <v>46035</v>
      </c>
      <c r="K9" s="114">
        <v>57273045</v>
      </c>
      <c r="L9" s="120">
        <v>92798763</v>
      </c>
      <c r="M9" s="88" t="s">
        <v>260</v>
      </c>
      <c r="R9" s="12" t="s">
        <v>261</v>
      </c>
      <c r="S9" s="202">
        <v>4946</v>
      </c>
      <c r="T9" s="12">
        <v>9</v>
      </c>
    </row>
    <row r="10" spans="1:21">
      <c r="A10" s="421">
        <v>6</v>
      </c>
      <c r="B10" s="120"/>
      <c r="C10" s="88"/>
      <c r="D10" s="88"/>
      <c r="E10" s="161"/>
      <c r="F10" s="90" t="s">
        <v>253</v>
      </c>
      <c r="G10" s="162"/>
      <c r="H10" s="255">
        <v>21.626999999999999</v>
      </c>
      <c r="I10" s="92">
        <v>21.62</v>
      </c>
      <c r="J10" s="118">
        <v>46035</v>
      </c>
      <c r="K10" s="114">
        <v>57273045</v>
      </c>
      <c r="L10" s="120">
        <v>92798764</v>
      </c>
      <c r="M10" s="88" t="s">
        <v>262</v>
      </c>
    </row>
    <row r="11" spans="1:21">
      <c r="A11" s="421">
        <v>7</v>
      </c>
      <c r="B11" s="120"/>
      <c r="C11" s="88"/>
      <c r="D11" s="88"/>
      <c r="E11" s="161"/>
      <c r="F11" s="90" t="s">
        <v>253</v>
      </c>
      <c r="G11" s="162"/>
      <c r="H11" s="255">
        <v>21.8</v>
      </c>
      <c r="I11" s="92">
        <v>21.8</v>
      </c>
      <c r="J11" s="118">
        <v>46035</v>
      </c>
      <c r="K11" s="114">
        <v>57273045</v>
      </c>
      <c r="L11" s="120">
        <v>92798766</v>
      </c>
      <c r="M11" s="88" t="s">
        <v>263</v>
      </c>
    </row>
    <row r="12" spans="1:21">
      <c r="A12" s="421">
        <v>8</v>
      </c>
      <c r="B12" s="120"/>
      <c r="C12" s="88"/>
      <c r="D12" s="88"/>
      <c r="E12" s="161"/>
      <c r="F12" s="90" t="s">
        <v>253</v>
      </c>
      <c r="G12" s="162"/>
      <c r="H12" s="255">
        <v>21.672999999999998</v>
      </c>
      <c r="I12" s="92">
        <v>21.71</v>
      </c>
      <c r="J12" s="118">
        <v>46035</v>
      </c>
      <c r="K12" s="114">
        <v>57273045</v>
      </c>
      <c r="L12" s="120">
        <v>92798767</v>
      </c>
      <c r="M12" s="88" t="s">
        <v>264</v>
      </c>
    </row>
    <row r="13" spans="1:21">
      <c r="A13" s="421">
        <v>9</v>
      </c>
      <c r="B13" s="419" t="s">
        <v>265</v>
      </c>
      <c r="C13" s="91"/>
      <c r="D13" s="88"/>
      <c r="E13" s="161"/>
      <c r="F13" s="90" t="s">
        <v>253</v>
      </c>
      <c r="G13" s="162">
        <v>4</v>
      </c>
      <c r="H13" s="255">
        <v>21.318999999999999</v>
      </c>
      <c r="I13" s="92">
        <v>21.3</v>
      </c>
      <c r="J13" s="118">
        <v>46038</v>
      </c>
      <c r="K13" s="114">
        <v>57287594</v>
      </c>
      <c r="L13" s="120">
        <v>92809010</v>
      </c>
      <c r="M13" s="88" t="s">
        <v>266</v>
      </c>
      <c r="R13" s="12" t="s">
        <v>267</v>
      </c>
      <c r="S13" s="202">
        <v>5341</v>
      </c>
      <c r="T13" s="12">
        <v>9</v>
      </c>
    </row>
    <row r="14" spans="1:21">
      <c r="A14" s="421">
        <v>10</v>
      </c>
      <c r="B14" s="120"/>
      <c r="C14" s="88"/>
      <c r="D14" s="88"/>
      <c r="E14" s="161"/>
      <c r="F14" s="90" t="s">
        <v>253</v>
      </c>
      <c r="G14" s="162"/>
      <c r="H14" s="255">
        <v>20.574999999999999</v>
      </c>
      <c r="I14" s="92">
        <v>20.54</v>
      </c>
      <c r="J14" s="118">
        <v>46038</v>
      </c>
      <c r="K14" s="114">
        <v>57287594</v>
      </c>
      <c r="L14" s="120">
        <v>92809011</v>
      </c>
      <c r="M14" s="88" t="s">
        <v>268</v>
      </c>
    </row>
    <row r="15" spans="1:21">
      <c r="A15" s="421">
        <v>11</v>
      </c>
      <c r="B15" s="120"/>
      <c r="C15" s="88"/>
      <c r="D15" s="88"/>
      <c r="E15" s="161"/>
      <c r="F15" s="90" t="s">
        <v>253</v>
      </c>
      <c r="G15" s="162"/>
      <c r="H15" s="255">
        <v>21.437000000000001</v>
      </c>
      <c r="I15" s="92">
        <v>21.45</v>
      </c>
      <c r="J15" s="118">
        <v>46039</v>
      </c>
      <c r="K15" s="114">
        <v>57287594</v>
      </c>
      <c r="L15" s="120">
        <v>92809012</v>
      </c>
      <c r="M15" s="88" t="s">
        <v>269</v>
      </c>
    </row>
    <row r="16" spans="1:21">
      <c r="A16" s="421">
        <v>12</v>
      </c>
      <c r="B16" s="120"/>
      <c r="C16" s="203"/>
      <c r="D16" s="203"/>
      <c r="E16" s="204"/>
      <c r="F16" s="205" t="s">
        <v>253</v>
      </c>
      <c r="G16" s="206"/>
      <c r="H16" s="278">
        <v>21.745000000000001</v>
      </c>
      <c r="I16" s="123">
        <v>21.7</v>
      </c>
      <c r="J16" s="118">
        <v>46038</v>
      </c>
      <c r="K16" s="121">
        <v>57287594</v>
      </c>
      <c r="L16" s="122">
        <v>92809013</v>
      </c>
      <c r="M16" s="88" t="s">
        <v>270</v>
      </c>
    </row>
    <row r="17" spans="1:20">
      <c r="A17" s="421">
        <v>13</v>
      </c>
      <c r="B17" s="419" t="s">
        <v>271</v>
      </c>
      <c r="C17" s="91"/>
      <c r="D17" s="120"/>
      <c r="E17" s="89"/>
      <c r="F17" s="205" t="s">
        <v>253</v>
      </c>
      <c r="G17" s="90">
        <v>4</v>
      </c>
      <c r="H17" s="115">
        <v>20.312000000000001</v>
      </c>
      <c r="I17" s="92">
        <v>20.25</v>
      </c>
      <c r="J17" s="118">
        <v>46072</v>
      </c>
      <c r="K17" s="86">
        <v>57358404</v>
      </c>
      <c r="L17" s="120">
        <v>92852012</v>
      </c>
      <c r="M17" s="88" t="s">
        <v>272</v>
      </c>
      <c r="R17" s="12" t="s">
        <v>273</v>
      </c>
      <c r="S17" s="202">
        <v>5142.58</v>
      </c>
      <c r="T17" s="12">
        <v>9</v>
      </c>
    </row>
    <row r="18" spans="1:20">
      <c r="A18" s="421">
        <v>14</v>
      </c>
      <c r="B18" s="120"/>
      <c r="C18" s="88"/>
      <c r="D18" s="120"/>
      <c r="E18" s="89"/>
      <c r="F18" s="205" t="s">
        <v>253</v>
      </c>
      <c r="G18" s="90"/>
      <c r="H18" s="115">
        <v>21.791</v>
      </c>
      <c r="I18" s="92">
        <v>21.72</v>
      </c>
      <c r="J18" s="118">
        <v>46072</v>
      </c>
      <c r="K18" s="86">
        <v>57358404</v>
      </c>
      <c r="L18" s="120">
        <v>92852006</v>
      </c>
      <c r="M18" s="88" t="s">
        <v>274</v>
      </c>
    </row>
    <row r="19" spans="1:20">
      <c r="A19" s="421">
        <v>15</v>
      </c>
      <c r="B19" s="120"/>
      <c r="C19" s="88"/>
      <c r="D19" s="120"/>
      <c r="E19" s="89"/>
      <c r="F19" s="205" t="s">
        <v>253</v>
      </c>
      <c r="G19" s="90"/>
      <c r="H19" s="115">
        <v>20.92</v>
      </c>
      <c r="I19" s="92">
        <v>20.84</v>
      </c>
      <c r="J19" s="118">
        <v>46072</v>
      </c>
      <c r="K19" s="86">
        <v>57358404</v>
      </c>
      <c r="L19" s="120">
        <v>92852004</v>
      </c>
      <c r="M19" s="88" t="s">
        <v>275</v>
      </c>
    </row>
    <row r="20" spans="1:20">
      <c r="A20" s="421">
        <v>16</v>
      </c>
      <c r="B20" s="120"/>
      <c r="C20" s="88"/>
      <c r="D20" s="120"/>
      <c r="E20" s="89"/>
      <c r="F20" s="205" t="s">
        <v>253</v>
      </c>
      <c r="G20" s="90"/>
      <c r="H20" s="115">
        <v>21.654</v>
      </c>
      <c r="I20" s="92">
        <v>21.58</v>
      </c>
      <c r="J20" s="118">
        <v>46072</v>
      </c>
      <c r="K20" s="86">
        <v>57358404</v>
      </c>
      <c r="L20" s="120">
        <v>92852005</v>
      </c>
      <c r="M20" s="88" t="s">
        <v>276</v>
      </c>
    </row>
    <row r="21" spans="1:20">
      <c r="A21" s="421">
        <v>17</v>
      </c>
      <c r="B21" s="419" t="s">
        <v>271</v>
      </c>
      <c r="C21" s="91"/>
      <c r="D21" s="120"/>
      <c r="E21" s="89"/>
      <c r="F21" s="205" t="s">
        <v>253</v>
      </c>
      <c r="G21" s="90">
        <v>3</v>
      </c>
      <c r="H21" s="115">
        <v>21.827000000000002</v>
      </c>
      <c r="I21" s="92">
        <v>21.87</v>
      </c>
      <c r="J21" s="118">
        <v>46067</v>
      </c>
      <c r="K21" s="86">
        <v>57345047</v>
      </c>
      <c r="L21" s="120">
        <v>92843033</v>
      </c>
      <c r="M21" s="88" t="s">
        <v>277</v>
      </c>
      <c r="R21" s="12" t="s">
        <v>278</v>
      </c>
      <c r="S21" s="276">
        <v>3502</v>
      </c>
      <c r="T21" s="12">
        <v>9</v>
      </c>
    </row>
    <row r="22" spans="1:20">
      <c r="A22" s="421">
        <v>18</v>
      </c>
      <c r="B22" s="120"/>
      <c r="C22" s="88"/>
      <c r="D22" s="120"/>
      <c r="E22" s="89"/>
      <c r="F22" s="205" t="s">
        <v>253</v>
      </c>
      <c r="G22" s="90"/>
      <c r="H22" s="115">
        <v>21.727</v>
      </c>
      <c r="I22" s="92">
        <v>21.75</v>
      </c>
      <c r="J22" s="118">
        <v>46067</v>
      </c>
      <c r="K22" s="86">
        <v>57345047</v>
      </c>
      <c r="L22" s="120">
        <v>92843034</v>
      </c>
      <c r="M22" s="88" t="s">
        <v>279</v>
      </c>
    </row>
    <row r="23" spans="1:20">
      <c r="A23" s="421">
        <v>19</v>
      </c>
      <c r="B23" s="120"/>
      <c r="C23" s="88"/>
      <c r="D23" s="120"/>
      <c r="E23" s="89"/>
      <c r="F23" s="205" t="s">
        <v>253</v>
      </c>
      <c r="G23" s="90"/>
      <c r="H23" s="115">
        <v>21.617999999999999</v>
      </c>
      <c r="I23" s="92">
        <v>21.54</v>
      </c>
      <c r="J23" s="118">
        <v>46070</v>
      </c>
      <c r="K23" s="86">
        <v>57345047</v>
      </c>
      <c r="L23" s="120">
        <v>92843035</v>
      </c>
      <c r="M23" s="88" t="s">
        <v>280</v>
      </c>
    </row>
    <row r="24" spans="1:20">
      <c r="A24" s="421">
        <v>20</v>
      </c>
      <c r="B24" s="419" t="s">
        <v>271</v>
      </c>
      <c r="C24" s="91"/>
      <c r="D24" s="120"/>
      <c r="E24" s="89"/>
      <c r="F24" s="205" t="s">
        <v>253</v>
      </c>
      <c r="G24" s="90">
        <v>3</v>
      </c>
      <c r="H24" s="115">
        <v>21.664000000000001</v>
      </c>
      <c r="I24" s="92">
        <v>21.65</v>
      </c>
      <c r="J24" s="118">
        <v>46069</v>
      </c>
      <c r="K24" s="86">
        <v>57345050</v>
      </c>
      <c r="L24" s="120">
        <v>92843037</v>
      </c>
      <c r="M24" s="88" t="s">
        <v>281</v>
      </c>
      <c r="R24" s="12" t="s">
        <v>282</v>
      </c>
      <c r="S24" s="276">
        <v>3502</v>
      </c>
      <c r="T24" s="12">
        <v>9</v>
      </c>
    </row>
    <row r="25" spans="1:20">
      <c r="A25" s="421">
        <v>21</v>
      </c>
      <c r="B25" s="120"/>
      <c r="C25" s="88"/>
      <c r="D25" s="120"/>
      <c r="E25" s="89"/>
      <c r="F25" s="205" t="s">
        <v>253</v>
      </c>
      <c r="G25" s="90"/>
      <c r="H25" s="115">
        <v>21.555</v>
      </c>
      <c r="I25" s="92">
        <v>21.51</v>
      </c>
      <c r="J25" s="118">
        <v>46070</v>
      </c>
      <c r="K25" s="86">
        <v>57345050</v>
      </c>
      <c r="L25" s="120">
        <v>92843038</v>
      </c>
      <c r="M25" s="88" t="s">
        <v>283</v>
      </c>
    </row>
    <row r="26" spans="1:20">
      <c r="A26" s="421">
        <v>22</v>
      </c>
      <c r="B26" s="120"/>
      <c r="C26" s="88"/>
      <c r="D26" s="120"/>
      <c r="E26" s="89"/>
      <c r="F26" s="205" t="s">
        <v>253</v>
      </c>
      <c r="G26" s="90"/>
      <c r="H26" s="115">
        <v>21.709</v>
      </c>
      <c r="I26" s="92">
        <v>21.67</v>
      </c>
      <c r="J26" s="118">
        <v>46070</v>
      </c>
      <c r="K26" s="86">
        <v>57345050</v>
      </c>
      <c r="L26" s="120">
        <v>92843039</v>
      </c>
      <c r="M26" s="88" t="s">
        <v>284</v>
      </c>
    </row>
    <row r="27" spans="1:20">
      <c r="A27" s="421">
        <v>23</v>
      </c>
      <c r="B27" s="419" t="s">
        <v>285</v>
      </c>
      <c r="C27" s="91"/>
      <c r="D27" s="120"/>
      <c r="E27" s="89"/>
      <c r="F27" s="205" t="s">
        <v>253</v>
      </c>
      <c r="G27" s="90">
        <v>4</v>
      </c>
      <c r="H27" s="115">
        <v>21.763000000000002</v>
      </c>
      <c r="I27" s="92">
        <v>21.71</v>
      </c>
      <c r="J27" s="118">
        <v>46130</v>
      </c>
      <c r="K27" s="86">
        <v>57387960</v>
      </c>
      <c r="L27" s="120">
        <v>92874862</v>
      </c>
      <c r="M27" s="88" t="s">
        <v>286</v>
      </c>
      <c r="R27" s="12" t="s">
        <v>287</v>
      </c>
      <c r="S27" s="276">
        <v>5426</v>
      </c>
      <c r="T27" s="12">
        <v>9</v>
      </c>
    </row>
    <row r="28" spans="1:20">
      <c r="A28" s="421">
        <v>24</v>
      </c>
      <c r="B28" s="120"/>
      <c r="C28" s="88"/>
      <c r="D28" s="120"/>
      <c r="E28" s="89"/>
      <c r="F28" s="205" t="s">
        <v>253</v>
      </c>
      <c r="G28" s="90"/>
      <c r="H28" s="115">
        <v>21.236999999999998</v>
      </c>
      <c r="I28" s="92">
        <v>21.18</v>
      </c>
      <c r="J28" s="118">
        <v>46130</v>
      </c>
      <c r="K28" s="86">
        <v>57387960</v>
      </c>
      <c r="L28" s="120">
        <v>92874863</v>
      </c>
      <c r="M28" s="88" t="s">
        <v>288</v>
      </c>
      <c r="O28" s="7"/>
    </row>
    <row r="29" spans="1:20">
      <c r="A29" s="421">
        <v>25</v>
      </c>
      <c r="B29" s="120"/>
      <c r="C29" s="88"/>
      <c r="D29" s="120"/>
      <c r="E29" s="89"/>
      <c r="F29" s="205" t="s">
        <v>253</v>
      </c>
      <c r="G29" s="90"/>
      <c r="H29" s="115">
        <v>21.780999999999999</v>
      </c>
      <c r="I29" s="92">
        <v>21.72</v>
      </c>
      <c r="J29" s="118">
        <v>46130</v>
      </c>
      <c r="K29" s="86">
        <v>57387960</v>
      </c>
      <c r="L29" s="120">
        <v>92874864</v>
      </c>
      <c r="M29" s="88" t="s">
        <v>289</v>
      </c>
      <c r="O29" s="7"/>
    </row>
    <row r="30" spans="1:20">
      <c r="A30" s="421">
        <v>26</v>
      </c>
      <c r="B30" s="120"/>
      <c r="C30" s="88"/>
      <c r="D30" s="120"/>
      <c r="E30" s="89"/>
      <c r="F30" s="205" t="s">
        <v>253</v>
      </c>
      <c r="G30" s="90"/>
      <c r="H30" s="115">
        <v>21.745000000000001</v>
      </c>
      <c r="I30" s="92">
        <v>21.68</v>
      </c>
      <c r="J30" s="118">
        <v>46130</v>
      </c>
      <c r="K30" s="86">
        <v>57387960</v>
      </c>
      <c r="L30" s="120">
        <v>92874865</v>
      </c>
      <c r="M30" s="88" t="s">
        <v>290</v>
      </c>
      <c r="O30" s="7"/>
    </row>
    <row r="31" spans="1:20">
      <c r="A31" s="421">
        <v>27</v>
      </c>
      <c r="B31" s="419" t="s">
        <v>265</v>
      </c>
      <c r="C31" s="91"/>
      <c r="D31" s="120"/>
      <c r="E31" s="89"/>
      <c r="F31" s="205" t="s">
        <v>253</v>
      </c>
      <c r="G31" s="90">
        <v>4</v>
      </c>
      <c r="H31" s="115">
        <v>21.029</v>
      </c>
      <c r="I31" s="92">
        <v>21.03</v>
      </c>
      <c r="J31" s="118">
        <v>46039</v>
      </c>
      <c r="K31" s="86">
        <v>57333052</v>
      </c>
      <c r="L31" s="120">
        <v>92831354</v>
      </c>
      <c r="M31" s="88" t="s">
        <v>291</v>
      </c>
      <c r="O31" s="7"/>
      <c r="R31" s="12" t="s">
        <v>292</v>
      </c>
      <c r="S31" s="202">
        <v>5341</v>
      </c>
      <c r="T31" s="12">
        <v>9</v>
      </c>
    </row>
    <row r="32" spans="1:20">
      <c r="A32" s="421">
        <v>28</v>
      </c>
      <c r="B32" s="120"/>
      <c r="C32" s="88"/>
      <c r="D32" s="120"/>
      <c r="E32" s="89"/>
      <c r="F32" s="205" t="s">
        <v>253</v>
      </c>
      <c r="G32" s="90"/>
      <c r="H32" s="115">
        <v>21.029</v>
      </c>
      <c r="I32" s="92">
        <v>21.03</v>
      </c>
      <c r="J32" s="118">
        <v>46039</v>
      </c>
      <c r="K32" s="86">
        <v>57333052</v>
      </c>
      <c r="L32" s="120">
        <v>92831355</v>
      </c>
      <c r="M32" s="88" t="s">
        <v>293</v>
      </c>
      <c r="O32" s="7"/>
    </row>
    <row r="33" spans="1:20">
      <c r="A33" s="421">
        <v>29</v>
      </c>
      <c r="B33" s="120"/>
      <c r="C33" s="88"/>
      <c r="D33" s="120"/>
      <c r="E33" s="89"/>
      <c r="F33" s="205" t="s">
        <v>253</v>
      </c>
      <c r="G33" s="90"/>
      <c r="H33" s="115">
        <v>21.6</v>
      </c>
      <c r="I33" s="92">
        <v>21.58</v>
      </c>
      <c r="J33" s="118">
        <v>46039</v>
      </c>
      <c r="K33" s="86">
        <v>57333052</v>
      </c>
      <c r="L33" s="120">
        <v>92831356</v>
      </c>
      <c r="M33" s="88" t="s">
        <v>294</v>
      </c>
      <c r="O33" s="7"/>
    </row>
    <row r="34" spans="1:20">
      <c r="A34" s="421">
        <v>30</v>
      </c>
      <c r="B34" s="120"/>
      <c r="C34" s="88"/>
      <c r="D34" s="120"/>
      <c r="E34" s="89"/>
      <c r="F34" s="205" t="s">
        <v>253</v>
      </c>
      <c r="G34" s="90"/>
      <c r="H34" s="115">
        <v>21.771999999999998</v>
      </c>
      <c r="I34" s="92">
        <v>21.76</v>
      </c>
      <c r="J34" s="118">
        <v>46039</v>
      </c>
      <c r="K34" s="86">
        <v>57333052</v>
      </c>
      <c r="L34" s="120">
        <v>92831358</v>
      </c>
      <c r="M34" s="88" t="s">
        <v>295</v>
      </c>
      <c r="O34" s="7"/>
    </row>
    <row r="35" spans="1:20">
      <c r="A35" s="421">
        <v>31</v>
      </c>
      <c r="B35" s="419" t="s">
        <v>296</v>
      </c>
      <c r="C35" s="91"/>
      <c r="D35" s="120"/>
      <c r="E35" s="89"/>
      <c r="F35" s="205" t="s">
        <v>253</v>
      </c>
      <c r="G35" s="90">
        <v>4</v>
      </c>
      <c r="H35" s="115">
        <v>21.437000000000001</v>
      </c>
      <c r="I35" s="92">
        <v>21.37</v>
      </c>
      <c r="J35" s="118">
        <v>46087</v>
      </c>
      <c r="K35" s="86">
        <v>57401443</v>
      </c>
      <c r="L35" s="120">
        <v>92876617</v>
      </c>
      <c r="M35" s="88" t="s">
        <v>297</v>
      </c>
      <c r="O35" s="7"/>
      <c r="R35" s="12" t="s">
        <v>298</v>
      </c>
      <c r="S35" s="276">
        <v>5350.19</v>
      </c>
      <c r="T35" s="12">
        <v>9</v>
      </c>
    </row>
    <row r="36" spans="1:20">
      <c r="A36" s="421">
        <v>32</v>
      </c>
      <c r="B36" s="120"/>
      <c r="C36" s="88"/>
      <c r="D36" s="120"/>
      <c r="E36" s="89"/>
      <c r="F36" s="205" t="s">
        <v>253</v>
      </c>
      <c r="G36" s="90"/>
      <c r="H36" s="115">
        <v>21.8</v>
      </c>
      <c r="I36" s="92">
        <v>21.74</v>
      </c>
      <c r="J36" s="118">
        <v>46087</v>
      </c>
      <c r="K36" s="86">
        <v>57401443</v>
      </c>
      <c r="L36" s="120">
        <v>92876618</v>
      </c>
      <c r="M36" s="88" t="s">
        <v>299</v>
      </c>
      <c r="O36" s="7"/>
    </row>
    <row r="37" spans="1:20">
      <c r="A37" s="421">
        <v>33</v>
      </c>
      <c r="B37" s="120"/>
      <c r="C37" s="88"/>
      <c r="D37" s="120"/>
      <c r="E37" s="89"/>
      <c r="F37" s="205" t="s">
        <v>253</v>
      </c>
      <c r="G37" s="90"/>
      <c r="H37" s="115">
        <v>21.8</v>
      </c>
      <c r="I37" s="92">
        <v>21.75</v>
      </c>
      <c r="J37" s="118">
        <v>46087</v>
      </c>
      <c r="K37" s="86">
        <v>57401443</v>
      </c>
      <c r="L37" s="120">
        <v>92876619</v>
      </c>
      <c r="M37" s="88" t="s">
        <v>300</v>
      </c>
      <c r="O37" s="7"/>
    </row>
    <row r="38" spans="1:20">
      <c r="A38" s="421">
        <v>34</v>
      </c>
      <c r="B38" s="120"/>
      <c r="C38" s="88"/>
      <c r="D38" s="120"/>
      <c r="E38" s="89"/>
      <c r="F38" s="205" t="s">
        <v>253</v>
      </c>
      <c r="G38" s="90"/>
      <c r="H38" s="115">
        <v>21.780999999999999</v>
      </c>
      <c r="I38" s="92">
        <v>21.72</v>
      </c>
      <c r="J38" s="118">
        <v>46087</v>
      </c>
      <c r="K38" s="86">
        <v>57401443</v>
      </c>
      <c r="L38" s="120">
        <v>92876620</v>
      </c>
      <c r="M38" s="88" t="s">
        <v>301</v>
      </c>
      <c r="O38" s="7"/>
    </row>
    <row r="39" spans="1:20">
      <c r="A39" s="421">
        <v>35</v>
      </c>
      <c r="B39" s="419" t="s">
        <v>302</v>
      </c>
      <c r="C39" s="91"/>
      <c r="D39" s="120"/>
      <c r="E39" s="124"/>
      <c r="F39" s="90" t="s">
        <v>253</v>
      </c>
      <c r="G39" s="125">
        <v>3</v>
      </c>
      <c r="H39" s="115">
        <v>21.809000000000001</v>
      </c>
      <c r="I39" s="237">
        <v>21.81</v>
      </c>
      <c r="J39" s="118">
        <v>46046</v>
      </c>
      <c r="K39" s="86">
        <v>57262783</v>
      </c>
      <c r="L39" s="120">
        <v>92798762</v>
      </c>
      <c r="M39" s="88" t="s">
        <v>303</v>
      </c>
      <c r="O39" s="7"/>
      <c r="R39" s="12" t="s">
        <v>304</v>
      </c>
      <c r="S39" s="202">
        <v>4087.95</v>
      </c>
      <c r="T39" s="12">
        <v>9</v>
      </c>
    </row>
    <row r="40" spans="1:20">
      <c r="A40" s="421">
        <v>36</v>
      </c>
      <c r="B40" s="120"/>
      <c r="C40" s="127"/>
      <c r="D40" s="127"/>
      <c r="E40" s="128"/>
      <c r="F40" s="90" t="s">
        <v>253</v>
      </c>
      <c r="G40" s="129"/>
      <c r="H40" s="279">
        <v>21.763000000000002</v>
      </c>
      <c r="I40" s="237">
        <v>21.81</v>
      </c>
      <c r="J40" s="118">
        <v>46045</v>
      </c>
      <c r="K40" s="86">
        <v>57262783</v>
      </c>
      <c r="L40" s="126">
        <v>92798761</v>
      </c>
      <c r="M40" s="88" t="s">
        <v>305</v>
      </c>
      <c r="O40" s="7"/>
    </row>
    <row r="41" spans="1:20">
      <c r="A41" s="421">
        <v>37</v>
      </c>
      <c r="B41" s="120"/>
      <c r="C41" s="127"/>
      <c r="D41" s="127"/>
      <c r="E41" s="128"/>
      <c r="F41" s="90" t="s">
        <v>253</v>
      </c>
      <c r="G41" s="129"/>
      <c r="H41" s="279">
        <v>21.664000000000001</v>
      </c>
      <c r="I41" s="237">
        <v>21.66</v>
      </c>
      <c r="J41" s="118">
        <v>46045</v>
      </c>
      <c r="K41" s="86">
        <v>57262783</v>
      </c>
      <c r="L41" s="126">
        <v>92798760</v>
      </c>
      <c r="M41" s="88" t="s">
        <v>306</v>
      </c>
      <c r="O41" s="7"/>
    </row>
    <row r="42" spans="1:20">
      <c r="A42" s="421">
        <v>38</v>
      </c>
      <c r="B42" s="419" t="s">
        <v>307</v>
      </c>
      <c r="C42" s="91"/>
      <c r="D42" s="88"/>
      <c r="E42" s="238"/>
      <c r="F42" s="205" t="s">
        <v>253</v>
      </c>
      <c r="G42" s="239">
        <v>4</v>
      </c>
      <c r="H42" s="255">
        <v>21.346</v>
      </c>
      <c r="I42" s="92">
        <v>21.28</v>
      </c>
      <c r="J42" s="118">
        <v>46051</v>
      </c>
      <c r="K42" s="114">
        <v>57287603</v>
      </c>
      <c r="L42" s="120">
        <v>92809014</v>
      </c>
      <c r="M42" s="88" t="s">
        <v>308</v>
      </c>
      <c r="O42" s="7"/>
      <c r="R42" s="12" t="s">
        <v>309</v>
      </c>
      <c r="S42" s="202">
        <v>5341</v>
      </c>
      <c r="T42" s="12">
        <v>9</v>
      </c>
    </row>
    <row r="43" spans="1:20">
      <c r="A43" s="421">
        <v>39</v>
      </c>
      <c r="B43" s="120"/>
      <c r="C43" s="88"/>
      <c r="D43" s="88"/>
      <c r="E43" s="238"/>
      <c r="F43" s="205" t="s">
        <v>253</v>
      </c>
      <c r="G43" s="239"/>
      <c r="H43" s="255">
        <v>21.690999999999999</v>
      </c>
      <c r="I43" s="92">
        <v>21.65</v>
      </c>
      <c r="J43" s="118">
        <v>46051</v>
      </c>
      <c r="K43" s="114">
        <v>57287603</v>
      </c>
      <c r="L43" s="120">
        <v>92809015</v>
      </c>
      <c r="M43" s="88" t="s">
        <v>310</v>
      </c>
      <c r="O43" s="7"/>
    </row>
    <row r="44" spans="1:20">
      <c r="A44" s="421">
        <v>40</v>
      </c>
      <c r="B44" s="120"/>
      <c r="C44" s="88"/>
      <c r="D44" s="88"/>
      <c r="E44" s="238"/>
      <c r="F44" s="205" t="s">
        <v>253</v>
      </c>
      <c r="G44" s="239"/>
      <c r="H44" s="255">
        <v>21.791</v>
      </c>
      <c r="I44" s="92">
        <v>21.77</v>
      </c>
      <c r="J44" s="118">
        <v>46051</v>
      </c>
      <c r="K44" s="114">
        <v>57287603</v>
      </c>
      <c r="L44" s="120">
        <v>92809016</v>
      </c>
      <c r="M44" s="88" t="s">
        <v>311</v>
      </c>
      <c r="O44" s="7"/>
    </row>
    <row r="45" spans="1:20">
      <c r="A45" s="421">
        <v>41</v>
      </c>
      <c r="B45" s="120"/>
      <c r="C45" s="88"/>
      <c r="D45" s="88"/>
      <c r="E45" s="238"/>
      <c r="F45" s="205" t="s">
        <v>253</v>
      </c>
      <c r="G45" s="239"/>
      <c r="H45" s="255">
        <v>20.856000000000002</v>
      </c>
      <c r="I45" s="92">
        <v>20.85</v>
      </c>
      <c r="J45" s="118">
        <v>46051</v>
      </c>
      <c r="K45" s="114">
        <v>57287603</v>
      </c>
      <c r="L45" s="120">
        <v>92809017</v>
      </c>
      <c r="M45" s="88" t="s">
        <v>312</v>
      </c>
      <c r="O45" s="7"/>
    </row>
    <row r="46" spans="1:20">
      <c r="A46" s="421">
        <v>42</v>
      </c>
      <c r="B46" s="419" t="s">
        <v>313</v>
      </c>
      <c r="C46" s="91"/>
      <c r="D46" s="88"/>
      <c r="E46" s="238"/>
      <c r="F46" s="205" t="s">
        <v>253</v>
      </c>
      <c r="G46" s="239">
        <v>4</v>
      </c>
      <c r="H46" s="255">
        <v>20.411999999999999</v>
      </c>
      <c r="I46" s="92">
        <v>20.34</v>
      </c>
      <c r="J46" s="320">
        <v>46137</v>
      </c>
      <c r="K46" s="114">
        <v>57425374</v>
      </c>
      <c r="L46" s="120">
        <v>92890716</v>
      </c>
      <c r="M46" s="88" t="s">
        <v>314</v>
      </c>
      <c r="O46" s="7"/>
      <c r="R46" s="356" t="s">
        <v>315</v>
      </c>
      <c r="S46" s="357">
        <f>2744</f>
        <v>2744</v>
      </c>
      <c r="T46" s="358">
        <v>9</v>
      </c>
    </row>
    <row r="47" spans="1:20">
      <c r="A47" s="421">
        <v>43</v>
      </c>
      <c r="B47" s="120"/>
      <c r="C47" s="88"/>
      <c r="D47" s="88"/>
      <c r="E47" s="238"/>
      <c r="F47" s="205" t="s">
        <v>253</v>
      </c>
      <c r="G47" s="239"/>
      <c r="H47" s="255">
        <v>20.193999999999999</v>
      </c>
      <c r="I47" s="92">
        <v>20.14</v>
      </c>
      <c r="J47" s="320">
        <v>46137</v>
      </c>
      <c r="K47" s="114">
        <v>57425374</v>
      </c>
      <c r="L47" s="120">
        <v>92890714</v>
      </c>
      <c r="M47" s="88" t="s">
        <v>316</v>
      </c>
      <c r="O47" s="7"/>
      <c r="R47" s="359" t="s">
        <v>317</v>
      </c>
      <c r="S47" s="202">
        <v>2403.12</v>
      </c>
      <c r="T47" s="360">
        <v>0</v>
      </c>
    </row>
    <row r="48" spans="1:20">
      <c r="A48" s="421">
        <v>44</v>
      </c>
      <c r="B48" s="120"/>
      <c r="C48" s="88"/>
      <c r="D48" s="88"/>
      <c r="E48" s="238"/>
      <c r="F48" s="205" t="s">
        <v>253</v>
      </c>
      <c r="G48" s="239"/>
      <c r="H48" s="255">
        <v>19.849</v>
      </c>
      <c r="I48" s="325">
        <v>19.79</v>
      </c>
      <c r="J48" s="320">
        <v>46137</v>
      </c>
      <c r="K48" s="114">
        <v>57425374</v>
      </c>
      <c r="L48" s="120">
        <v>92890717</v>
      </c>
      <c r="M48" s="88" t="s">
        <v>318</v>
      </c>
      <c r="O48" s="7"/>
      <c r="R48" s="361" t="s">
        <v>319</v>
      </c>
      <c r="S48" s="365">
        <v>109097.84</v>
      </c>
      <c r="T48" s="362">
        <v>0</v>
      </c>
    </row>
    <row r="49" spans="1:20">
      <c r="A49" s="421">
        <v>45</v>
      </c>
      <c r="B49" s="120"/>
      <c r="C49" s="88"/>
      <c r="D49" s="88"/>
      <c r="E49" s="238"/>
      <c r="F49" s="205" t="s">
        <v>253</v>
      </c>
      <c r="G49" s="239"/>
      <c r="H49" s="255">
        <v>21.564</v>
      </c>
      <c r="I49" s="325">
        <v>21.51</v>
      </c>
      <c r="J49" s="320">
        <v>46137</v>
      </c>
      <c r="K49" s="114">
        <v>57425374</v>
      </c>
      <c r="L49" s="120">
        <v>92890715</v>
      </c>
      <c r="M49" s="88" t="s">
        <v>320</v>
      </c>
      <c r="O49" s="7"/>
    </row>
    <row r="50" spans="1:20">
      <c r="A50" s="421">
        <v>46</v>
      </c>
      <c r="B50" s="419" t="s">
        <v>321</v>
      </c>
      <c r="C50" s="91"/>
      <c r="D50" s="88"/>
      <c r="E50" s="238"/>
      <c r="F50" s="205" t="s">
        <v>253</v>
      </c>
      <c r="G50" s="239">
        <v>3</v>
      </c>
      <c r="H50" s="255">
        <v>21.7</v>
      </c>
      <c r="I50" s="325">
        <v>21.65</v>
      </c>
      <c r="J50" s="320">
        <v>46141</v>
      </c>
      <c r="K50" s="114">
        <v>57437793</v>
      </c>
      <c r="L50" s="120">
        <v>92896015</v>
      </c>
      <c r="M50" s="88" t="s">
        <v>322</v>
      </c>
      <c r="N50" s="628" t="s">
        <v>323</v>
      </c>
      <c r="O50" s="7"/>
      <c r="R50" s="635" t="s">
        <v>324</v>
      </c>
      <c r="S50" s="637">
        <v>103530.851</v>
      </c>
      <c r="T50" s="626">
        <v>0</v>
      </c>
    </row>
    <row r="51" spans="1:20">
      <c r="A51" s="421">
        <v>47</v>
      </c>
      <c r="B51" s="120"/>
      <c r="C51" s="88"/>
      <c r="D51" s="88"/>
      <c r="E51" s="238"/>
      <c r="F51" s="205" t="s">
        <v>253</v>
      </c>
      <c r="G51" s="239"/>
      <c r="H51" s="255">
        <v>21.727</v>
      </c>
      <c r="I51" s="92">
        <v>21.69</v>
      </c>
      <c r="J51" s="320">
        <v>46141</v>
      </c>
      <c r="K51" s="114">
        <v>57437793</v>
      </c>
      <c r="L51" s="120">
        <v>92896016</v>
      </c>
      <c r="M51" s="88" t="s">
        <v>325</v>
      </c>
      <c r="N51" s="628"/>
      <c r="R51" s="636"/>
      <c r="S51" s="638"/>
      <c r="T51" s="627"/>
    </row>
    <row r="52" spans="1:20">
      <c r="A52" s="421">
        <v>48</v>
      </c>
      <c r="B52" s="120"/>
      <c r="C52" s="88"/>
      <c r="D52" s="88"/>
      <c r="E52" s="238"/>
      <c r="F52" s="205" t="s">
        <v>253</v>
      </c>
      <c r="G52" s="239"/>
      <c r="H52" s="255">
        <v>21.645</v>
      </c>
      <c r="I52" s="92">
        <v>21.6</v>
      </c>
      <c r="J52" s="320">
        <v>46141</v>
      </c>
      <c r="K52" s="114">
        <v>57437793</v>
      </c>
      <c r="L52" s="120">
        <v>92896017</v>
      </c>
      <c r="M52" s="88" t="s">
        <v>326</v>
      </c>
      <c r="N52" s="628"/>
      <c r="O52" s="7"/>
      <c r="R52" s="636"/>
      <c r="S52" s="638"/>
      <c r="T52" s="627"/>
    </row>
    <row r="53" spans="1:20">
      <c r="A53" s="421">
        <v>49</v>
      </c>
      <c r="B53" s="419" t="s">
        <v>321</v>
      </c>
      <c r="C53" s="91"/>
      <c r="D53" s="88"/>
      <c r="E53" s="238"/>
      <c r="F53" s="205" t="s">
        <v>253</v>
      </c>
      <c r="G53" s="239">
        <v>3</v>
      </c>
      <c r="H53" s="255">
        <v>20.384</v>
      </c>
      <c r="I53" s="92">
        <v>20.32</v>
      </c>
      <c r="J53" s="320">
        <v>46142</v>
      </c>
      <c r="K53" s="114">
        <v>57437795</v>
      </c>
      <c r="L53" s="120">
        <v>92896018</v>
      </c>
      <c r="M53" s="88" t="s">
        <v>327</v>
      </c>
      <c r="N53" s="628"/>
      <c r="R53" s="636"/>
      <c r="S53" s="638"/>
      <c r="T53" s="627"/>
    </row>
    <row r="54" spans="1:20">
      <c r="A54" s="421">
        <v>50</v>
      </c>
      <c r="B54" s="120"/>
      <c r="C54" s="88"/>
      <c r="D54" s="88"/>
      <c r="E54" s="238"/>
      <c r="F54" s="205" t="s">
        <v>253</v>
      </c>
      <c r="G54" s="239"/>
      <c r="H54" s="255">
        <v>21.355</v>
      </c>
      <c r="I54" s="92">
        <v>21.28</v>
      </c>
      <c r="J54" s="320">
        <v>46142</v>
      </c>
      <c r="K54" s="114">
        <v>57437795</v>
      </c>
      <c r="L54" s="120">
        <v>92896019</v>
      </c>
      <c r="M54" s="88" t="s">
        <v>328</v>
      </c>
      <c r="N54" s="628"/>
      <c r="O54" s="7"/>
      <c r="R54" s="636"/>
      <c r="S54" s="638"/>
      <c r="T54" s="627"/>
    </row>
    <row r="55" spans="1:20">
      <c r="A55" s="421">
        <v>51</v>
      </c>
      <c r="B55" s="120"/>
      <c r="C55" s="88"/>
      <c r="D55" s="88"/>
      <c r="E55" s="238"/>
      <c r="F55" s="205" t="s">
        <v>253</v>
      </c>
      <c r="G55" s="239"/>
      <c r="H55" s="255">
        <v>20.384</v>
      </c>
      <c r="I55" s="92">
        <v>20.350000000000001</v>
      </c>
      <c r="J55" s="320">
        <v>46142</v>
      </c>
      <c r="K55" s="114">
        <v>57437795</v>
      </c>
      <c r="L55" s="120">
        <v>92896020</v>
      </c>
      <c r="M55" s="88" t="s">
        <v>329</v>
      </c>
      <c r="N55" s="628"/>
      <c r="R55" s="636"/>
      <c r="S55" s="638"/>
      <c r="T55" s="627"/>
    </row>
    <row r="56" spans="1:20">
      <c r="A56" s="421">
        <v>52</v>
      </c>
      <c r="B56" s="419" t="s">
        <v>330</v>
      </c>
      <c r="C56" s="91"/>
      <c r="D56" s="88"/>
      <c r="E56" s="238"/>
      <c r="F56" s="205" t="s">
        <v>253</v>
      </c>
      <c r="G56" s="239">
        <v>3</v>
      </c>
      <c r="H56" s="255">
        <v>21.718</v>
      </c>
      <c r="I56" s="92">
        <v>21.66</v>
      </c>
      <c r="J56" s="320">
        <v>46178</v>
      </c>
      <c r="K56" s="114">
        <v>57425377</v>
      </c>
      <c r="L56" s="120">
        <v>92886841</v>
      </c>
      <c r="M56" s="88" t="s">
        <v>331</v>
      </c>
      <c r="R56" s="356" t="s">
        <v>332</v>
      </c>
      <c r="S56" s="364">
        <v>5393.5</v>
      </c>
      <c r="T56" s="358">
        <v>9</v>
      </c>
    </row>
    <row r="57" spans="1:20">
      <c r="A57" s="421">
        <v>53</v>
      </c>
      <c r="B57" s="120"/>
      <c r="C57" s="88"/>
      <c r="D57" s="88"/>
      <c r="E57" s="238"/>
      <c r="F57" s="205" t="s">
        <v>253</v>
      </c>
      <c r="G57" s="239"/>
      <c r="H57" s="255">
        <v>21.7</v>
      </c>
      <c r="I57" s="92">
        <v>21.65</v>
      </c>
      <c r="J57" s="320">
        <v>46178</v>
      </c>
      <c r="K57" s="114">
        <v>57425377</v>
      </c>
      <c r="L57" s="120">
        <v>92886842</v>
      </c>
      <c r="M57" s="88" t="s">
        <v>333</v>
      </c>
      <c r="R57" s="359" t="s">
        <v>334</v>
      </c>
      <c r="S57" s="276">
        <v>38275.9</v>
      </c>
      <c r="T57" s="360">
        <v>627.86</v>
      </c>
    </row>
    <row r="58" spans="1:20">
      <c r="A58" s="421">
        <v>54</v>
      </c>
      <c r="B58" s="120"/>
      <c r="C58" s="88"/>
      <c r="D58" s="88"/>
      <c r="E58" s="238"/>
      <c r="F58" s="205" t="s">
        <v>253</v>
      </c>
      <c r="G58" s="239"/>
      <c r="H58" s="255">
        <v>21.626999999999999</v>
      </c>
      <c r="I58" s="92">
        <v>21.56</v>
      </c>
      <c r="J58" s="320">
        <v>46178</v>
      </c>
      <c r="K58" s="114">
        <v>57425377</v>
      </c>
      <c r="L58" s="120">
        <v>92886843</v>
      </c>
      <c r="M58" s="88" t="s">
        <v>335</v>
      </c>
      <c r="N58" s="212"/>
      <c r="O58" s="212"/>
      <c r="P58" s="212"/>
      <c r="Q58" s="212"/>
      <c r="R58" s="379" t="s">
        <v>336</v>
      </c>
      <c r="S58" s="365">
        <v>300</v>
      </c>
      <c r="T58" s="362">
        <v>0</v>
      </c>
    </row>
    <row r="59" spans="1:20">
      <c r="A59" s="421">
        <v>55</v>
      </c>
      <c r="B59" s="419" t="s">
        <v>337</v>
      </c>
      <c r="C59" s="91"/>
      <c r="D59" s="88"/>
      <c r="E59" s="238"/>
      <c r="F59" s="205" t="s">
        <v>253</v>
      </c>
      <c r="G59" s="239">
        <v>4</v>
      </c>
      <c r="H59" s="363">
        <v>21.736000000000001</v>
      </c>
      <c r="I59" s="92">
        <v>21.67</v>
      </c>
      <c r="J59" s="320">
        <v>46165</v>
      </c>
      <c r="K59" s="114">
        <v>57451161</v>
      </c>
      <c r="L59" s="120">
        <v>92903439</v>
      </c>
      <c r="M59" s="88" t="s">
        <v>338</v>
      </c>
      <c r="O59" s="6"/>
      <c r="P59" s="6"/>
      <c r="Q59" s="6"/>
      <c r="R59" s="359" t="s">
        <v>339</v>
      </c>
      <c r="S59" s="276">
        <v>102449</v>
      </c>
      <c r="T59" s="360">
        <v>0</v>
      </c>
    </row>
    <row r="60" spans="1:20">
      <c r="A60" s="421">
        <v>56</v>
      </c>
      <c r="B60" s="120"/>
      <c r="C60" s="88"/>
      <c r="D60" s="351"/>
      <c r="E60" s="238"/>
      <c r="F60" s="205" t="s">
        <v>253</v>
      </c>
      <c r="G60" s="239"/>
      <c r="H60" s="255">
        <v>20.402999999999999</v>
      </c>
      <c r="I60" s="92">
        <v>20.36</v>
      </c>
      <c r="J60" s="320">
        <v>46165</v>
      </c>
      <c r="K60" s="114">
        <v>57451161</v>
      </c>
      <c r="L60" s="120">
        <v>92903437</v>
      </c>
      <c r="M60" s="88" t="s">
        <v>340</v>
      </c>
      <c r="R60" s="361" t="s">
        <v>341</v>
      </c>
      <c r="S60" s="365">
        <v>2006</v>
      </c>
      <c r="T60" s="362">
        <v>9</v>
      </c>
    </row>
    <row r="61" spans="1:20">
      <c r="A61" s="421">
        <v>57</v>
      </c>
      <c r="B61" s="120"/>
      <c r="C61" s="88"/>
      <c r="D61" s="351"/>
      <c r="E61" s="238"/>
      <c r="F61" s="205" t="s">
        <v>253</v>
      </c>
      <c r="G61" s="239"/>
      <c r="H61" s="363">
        <v>21.736000000000001</v>
      </c>
      <c r="I61" s="92">
        <v>21.67</v>
      </c>
      <c r="J61" s="320">
        <v>46165</v>
      </c>
      <c r="K61" s="114">
        <v>57451161</v>
      </c>
      <c r="L61" s="120">
        <v>92903440</v>
      </c>
      <c r="M61" s="88" t="s">
        <v>342</v>
      </c>
    </row>
    <row r="62" spans="1:20">
      <c r="A62" s="421">
        <v>58</v>
      </c>
      <c r="B62" s="120"/>
      <c r="C62" s="88"/>
      <c r="D62" s="351"/>
      <c r="E62" s="238"/>
      <c r="F62" s="205" t="s">
        <v>253</v>
      </c>
      <c r="G62" s="239"/>
      <c r="H62" s="255">
        <v>21.146000000000001</v>
      </c>
      <c r="I62" s="92">
        <v>21.12</v>
      </c>
      <c r="J62" s="320">
        <v>46165</v>
      </c>
      <c r="K62" s="114">
        <v>57451161</v>
      </c>
      <c r="L62" s="120">
        <v>92903436</v>
      </c>
      <c r="M62" s="88" t="s">
        <v>343</v>
      </c>
    </row>
    <row r="63" spans="1:20">
      <c r="A63" s="421">
        <v>59</v>
      </c>
      <c r="B63" s="419" t="s">
        <v>344</v>
      </c>
      <c r="C63" s="91"/>
      <c r="D63" s="351"/>
      <c r="E63" s="238"/>
      <c r="F63" s="205" t="s">
        <v>253</v>
      </c>
      <c r="G63" s="239">
        <v>3</v>
      </c>
      <c r="H63" s="255">
        <v>21.709</v>
      </c>
      <c r="I63" s="92">
        <v>21.65</v>
      </c>
      <c r="J63" s="320">
        <v>46177</v>
      </c>
      <c r="K63" s="114">
        <v>57526904</v>
      </c>
      <c r="L63" s="122">
        <v>92945682</v>
      </c>
      <c r="M63" s="88" t="s">
        <v>345</v>
      </c>
      <c r="R63" s="356" t="s">
        <v>346</v>
      </c>
      <c r="S63" s="357">
        <v>2168</v>
      </c>
      <c r="T63" s="358">
        <v>9</v>
      </c>
    </row>
    <row r="64" spans="1:20">
      <c r="A64" s="421">
        <v>60</v>
      </c>
      <c r="B64" s="120"/>
      <c r="C64" s="88"/>
      <c r="D64" s="351"/>
      <c r="E64" s="238"/>
      <c r="F64" s="205" t="s">
        <v>253</v>
      </c>
      <c r="G64" s="239"/>
      <c r="H64" s="255">
        <v>21.718</v>
      </c>
      <c r="I64" s="92">
        <v>21.65</v>
      </c>
      <c r="J64" s="320">
        <v>46177</v>
      </c>
      <c r="K64" s="114">
        <v>57526904</v>
      </c>
      <c r="L64" s="122">
        <v>92945681</v>
      </c>
      <c r="M64" s="88" t="s">
        <v>347</v>
      </c>
      <c r="R64" s="359" t="s">
        <v>348</v>
      </c>
      <c r="S64" s="276">
        <v>77878.77</v>
      </c>
      <c r="T64" s="360">
        <v>0</v>
      </c>
    </row>
    <row r="65" spans="1:20">
      <c r="A65" s="421">
        <v>61</v>
      </c>
      <c r="B65" s="120"/>
      <c r="C65" s="88"/>
      <c r="D65" s="352"/>
      <c r="E65" s="353"/>
      <c r="F65" s="205" t="s">
        <v>253</v>
      </c>
      <c r="G65" s="354"/>
      <c r="H65" s="278">
        <v>21.736000000000001</v>
      </c>
      <c r="I65" s="123">
        <v>21.66</v>
      </c>
      <c r="J65" s="320">
        <v>46177</v>
      </c>
      <c r="K65" s="114">
        <v>57526904</v>
      </c>
      <c r="L65" s="122">
        <v>92945683</v>
      </c>
      <c r="M65" s="88" t="s">
        <v>349</v>
      </c>
      <c r="Q65" s="212"/>
      <c r="R65" s="379" t="s">
        <v>350</v>
      </c>
      <c r="S65" s="417">
        <v>1099.56</v>
      </c>
      <c r="T65" s="362">
        <v>0</v>
      </c>
    </row>
    <row r="66" spans="1:20">
      <c r="A66" s="421">
        <v>62</v>
      </c>
      <c r="B66" s="419" t="s">
        <v>344</v>
      </c>
      <c r="C66" s="91"/>
      <c r="D66" s="88"/>
      <c r="E66" s="89"/>
      <c r="F66" s="205" t="s">
        <v>253</v>
      </c>
      <c r="G66" s="354">
        <v>4</v>
      </c>
      <c r="H66" s="115">
        <v>21.727</v>
      </c>
      <c r="I66" s="92">
        <v>21.65</v>
      </c>
      <c r="J66" s="320">
        <v>46178</v>
      </c>
      <c r="K66" s="86">
        <v>57526902</v>
      </c>
      <c r="L66" s="120">
        <v>92945678</v>
      </c>
      <c r="M66" s="88" t="s">
        <v>351</v>
      </c>
      <c r="R66" s="359" t="s">
        <v>352</v>
      </c>
      <c r="S66" s="276">
        <v>2914</v>
      </c>
      <c r="T66" s="360">
        <v>9</v>
      </c>
    </row>
    <row r="67" spans="1:20">
      <c r="A67" s="421">
        <v>63</v>
      </c>
      <c r="B67" s="120"/>
      <c r="C67" s="88"/>
      <c r="D67" s="88"/>
      <c r="E67" s="89"/>
      <c r="F67" s="205" t="s">
        <v>253</v>
      </c>
      <c r="G67" s="90"/>
      <c r="H67" s="115">
        <v>21.771999999999998</v>
      </c>
      <c r="I67" s="92">
        <v>21.71</v>
      </c>
      <c r="J67" s="320">
        <v>46178</v>
      </c>
      <c r="K67" s="86">
        <v>57526902</v>
      </c>
      <c r="L67" s="120">
        <v>92945675</v>
      </c>
      <c r="M67" s="88" t="s">
        <v>353</v>
      </c>
      <c r="R67" s="361" t="s">
        <v>354</v>
      </c>
      <c r="S67" s="365">
        <v>101559.76</v>
      </c>
      <c r="T67" s="362">
        <v>0</v>
      </c>
    </row>
    <row r="68" spans="1:20">
      <c r="A68" s="421">
        <v>64</v>
      </c>
      <c r="B68" s="120"/>
      <c r="C68" s="88"/>
      <c r="D68" s="88"/>
      <c r="E68" s="89"/>
      <c r="F68" s="205" t="s">
        <v>253</v>
      </c>
      <c r="G68" s="90"/>
      <c r="H68" s="115">
        <v>21.718</v>
      </c>
      <c r="I68" s="92">
        <v>21.66</v>
      </c>
      <c r="J68" s="320">
        <v>46178</v>
      </c>
      <c r="K68" s="86">
        <v>57526902</v>
      </c>
      <c r="L68" s="120">
        <v>92945674</v>
      </c>
      <c r="M68" s="88" t="s">
        <v>355</v>
      </c>
    </row>
    <row r="69" spans="1:20">
      <c r="A69" s="421">
        <v>65</v>
      </c>
      <c r="B69" s="120"/>
      <c r="C69" s="88"/>
      <c r="D69" s="88"/>
      <c r="E69" s="89"/>
      <c r="F69" s="205" t="s">
        <v>253</v>
      </c>
      <c r="G69" s="90"/>
      <c r="H69" s="115">
        <v>21.654</v>
      </c>
      <c r="I69" s="92">
        <v>21.59</v>
      </c>
      <c r="J69" s="320">
        <v>46178</v>
      </c>
      <c r="K69" s="86">
        <v>57526902</v>
      </c>
      <c r="L69" s="120">
        <v>92945676</v>
      </c>
      <c r="M69" s="88" t="s">
        <v>356</v>
      </c>
    </row>
    <row r="70" spans="1:20">
      <c r="A70" s="421">
        <v>66</v>
      </c>
      <c r="B70" s="419" t="s">
        <v>357</v>
      </c>
      <c r="C70" s="91"/>
      <c r="D70" s="88"/>
      <c r="E70" s="124"/>
      <c r="F70" s="205" t="s">
        <v>253</v>
      </c>
      <c r="G70" s="125">
        <v>4</v>
      </c>
      <c r="H70" s="115">
        <v>21.736000000000001</v>
      </c>
      <c r="I70" s="92">
        <v>21.68</v>
      </c>
      <c r="J70" s="320">
        <v>46142</v>
      </c>
      <c r="K70" s="86">
        <v>57413682</v>
      </c>
      <c r="L70" s="120">
        <v>92888255</v>
      </c>
      <c r="M70" s="88" t="s">
        <v>358</v>
      </c>
      <c r="R70" s="356" t="s">
        <v>359</v>
      </c>
      <c r="S70" s="357">
        <v>34888.720000000001</v>
      </c>
      <c r="T70" s="358">
        <v>9</v>
      </c>
    </row>
    <row r="71" spans="1:20">
      <c r="A71" s="421">
        <v>67</v>
      </c>
      <c r="B71" s="120"/>
      <c r="C71" s="88"/>
      <c r="D71" s="127"/>
      <c r="E71" s="128"/>
      <c r="F71" s="205" t="s">
        <v>253</v>
      </c>
      <c r="G71" s="129"/>
      <c r="H71" s="240">
        <v>21.745000000000001</v>
      </c>
      <c r="I71" s="237">
        <v>21.74</v>
      </c>
      <c r="J71" s="320">
        <v>46142</v>
      </c>
      <c r="K71" s="86">
        <v>57413682</v>
      </c>
      <c r="L71" s="120">
        <v>92888256</v>
      </c>
      <c r="M71" s="88" t="s">
        <v>360</v>
      </c>
      <c r="R71" s="359" t="s">
        <v>361</v>
      </c>
      <c r="S71" s="276">
        <v>760</v>
      </c>
      <c r="T71" s="360">
        <v>0</v>
      </c>
    </row>
    <row r="72" spans="1:20">
      <c r="A72" s="421">
        <v>68</v>
      </c>
      <c r="B72" s="120"/>
      <c r="C72" s="88"/>
      <c r="D72" s="127"/>
      <c r="E72" s="128"/>
      <c r="F72" s="205" t="s">
        <v>253</v>
      </c>
      <c r="G72" s="129"/>
      <c r="H72" s="115">
        <v>21.681999999999999</v>
      </c>
      <c r="I72" s="237">
        <v>21.62</v>
      </c>
      <c r="J72" s="320">
        <v>46142</v>
      </c>
      <c r="K72" s="86">
        <v>57413682</v>
      </c>
      <c r="L72" s="120">
        <v>92888257</v>
      </c>
      <c r="M72" s="88" t="s">
        <v>362</v>
      </c>
      <c r="Q72" s="418"/>
      <c r="R72" s="361" t="s">
        <v>363</v>
      </c>
      <c r="S72" s="365">
        <v>20636</v>
      </c>
      <c r="T72" s="362">
        <v>0</v>
      </c>
    </row>
    <row r="73" spans="1:20">
      <c r="A73" s="421">
        <v>69</v>
      </c>
      <c r="B73" s="120"/>
      <c r="C73" s="88"/>
      <c r="D73" s="127"/>
      <c r="E73" s="128"/>
      <c r="F73" s="205" t="s">
        <v>253</v>
      </c>
      <c r="G73" s="129"/>
      <c r="H73" s="240">
        <v>21.727</v>
      </c>
      <c r="I73" s="237">
        <v>21.7</v>
      </c>
      <c r="J73" s="320">
        <v>46142</v>
      </c>
      <c r="K73" s="86">
        <v>57413682</v>
      </c>
      <c r="L73" s="120">
        <v>92888258</v>
      </c>
      <c r="M73" s="88" t="s">
        <v>364</v>
      </c>
    </row>
    <row r="74" spans="1:20">
      <c r="A74" s="422">
        <v>70</v>
      </c>
      <c r="B74" s="419" t="s">
        <v>365</v>
      </c>
      <c r="C74" s="91"/>
      <c r="D74" s="404"/>
      <c r="E74" s="405"/>
      <c r="F74" s="406" t="s">
        <v>253</v>
      </c>
      <c r="G74" s="407">
        <v>4</v>
      </c>
      <c r="H74" s="279">
        <v>21.736000000000001</v>
      </c>
      <c r="I74" s="401">
        <v>21.66</v>
      </c>
      <c r="J74" s="320">
        <v>46219</v>
      </c>
      <c r="K74" s="423">
        <v>57553417</v>
      </c>
      <c r="L74" s="409">
        <v>93000398</v>
      </c>
      <c r="M74" s="403" t="s">
        <v>366</v>
      </c>
      <c r="R74" s="12" t="s">
        <v>367</v>
      </c>
      <c r="S74" s="202">
        <v>26978.21</v>
      </c>
      <c r="T74" s="12">
        <v>9</v>
      </c>
    </row>
    <row r="75" spans="1:20">
      <c r="A75" s="422">
        <v>71</v>
      </c>
      <c r="B75" s="420"/>
      <c r="C75" s="403"/>
      <c r="D75" s="404"/>
      <c r="E75" s="405"/>
      <c r="F75" s="406" t="s">
        <v>253</v>
      </c>
      <c r="G75" s="407"/>
      <c r="H75" s="279">
        <v>21.736000000000001</v>
      </c>
      <c r="I75" s="401">
        <v>21.66</v>
      </c>
      <c r="J75" s="320">
        <v>46220</v>
      </c>
      <c r="K75" s="423">
        <v>57553417</v>
      </c>
      <c r="L75" s="409">
        <v>93000399</v>
      </c>
      <c r="M75" s="403" t="s">
        <v>368</v>
      </c>
    </row>
    <row r="76" spans="1:20">
      <c r="A76" s="422">
        <v>72</v>
      </c>
      <c r="B76" s="420"/>
      <c r="C76" s="403"/>
      <c r="D76" s="408"/>
      <c r="E76" s="405"/>
      <c r="F76" s="406" t="s">
        <v>253</v>
      </c>
      <c r="G76" s="407"/>
      <c r="H76" s="279">
        <v>21.727</v>
      </c>
      <c r="I76" s="402">
        <v>21.65</v>
      </c>
      <c r="J76" s="320">
        <v>46219</v>
      </c>
      <c r="K76" s="423">
        <v>57553417</v>
      </c>
      <c r="L76" s="409">
        <v>93000400</v>
      </c>
      <c r="M76" s="403" t="s">
        <v>369</v>
      </c>
    </row>
    <row r="77" spans="1:20">
      <c r="A77" s="422">
        <v>73</v>
      </c>
      <c r="B77" s="420"/>
      <c r="C77" s="403"/>
      <c r="D77" s="408"/>
      <c r="E77" s="405"/>
      <c r="F77" s="406" t="s">
        <v>253</v>
      </c>
      <c r="G77" s="407"/>
      <c r="H77" s="279">
        <v>20.983000000000001</v>
      </c>
      <c r="I77" s="402">
        <v>20.91</v>
      </c>
      <c r="J77" s="320">
        <v>46220</v>
      </c>
      <c r="K77" s="423">
        <v>57553417</v>
      </c>
      <c r="L77" s="409">
        <v>93000401</v>
      </c>
      <c r="M77" s="403" t="s">
        <v>370</v>
      </c>
    </row>
    <row r="78" spans="1:20">
      <c r="A78" s="421">
        <v>74</v>
      </c>
      <c r="B78" s="419" t="s">
        <v>365</v>
      </c>
      <c r="C78" s="91"/>
      <c r="D78" s="88"/>
      <c r="E78" s="124"/>
      <c r="F78" s="205" t="s">
        <v>253</v>
      </c>
      <c r="G78" s="125">
        <v>4</v>
      </c>
      <c r="H78" s="115">
        <v>21.591000000000001</v>
      </c>
      <c r="I78" s="92">
        <v>21.55</v>
      </c>
      <c r="J78" s="320">
        <v>46219</v>
      </c>
      <c r="K78" s="86">
        <v>57526906</v>
      </c>
      <c r="L78" s="120">
        <v>92951209</v>
      </c>
      <c r="M78" s="88" t="s">
        <v>371</v>
      </c>
      <c r="R78" s="12" t="s">
        <v>372</v>
      </c>
      <c r="S78" s="202">
        <v>26978.21</v>
      </c>
      <c r="T78" s="12">
        <v>9</v>
      </c>
    </row>
    <row r="79" spans="1:20">
      <c r="A79" s="421">
        <v>75</v>
      </c>
      <c r="B79" s="120"/>
      <c r="C79" s="88"/>
      <c r="D79" s="127"/>
      <c r="E79" s="128"/>
      <c r="F79" s="205" t="s">
        <v>253</v>
      </c>
      <c r="G79" s="129"/>
      <c r="H79" s="240">
        <v>21.635999999999999</v>
      </c>
      <c r="I79" s="237">
        <v>21.57</v>
      </c>
      <c r="J79" s="320">
        <v>46219</v>
      </c>
      <c r="K79" s="86">
        <v>57526906</v>
      </c>
      <c r="L79" s="120">
        <v>92951210</v>
      </c>
      <c r="M79" s="88" t="s">
        <v>373</v>
      </c>
    </row>
    <row r="80" spans="1:20">
      <c r="A80" s="421">
        <v>76</v>
      </c>
      <c r="B80" s="120"/>
      <c r="C80" s="88"/>
      <c r="D80" s="127"/>
      <c r="E80" s="128"/>
      <c r="F80" s="205" t="s">
        <v>253</v>
      </c>
      <c r="G80" s="129"/>
      <c r="H80" s="115">
        <v>21.727</v>
      </c>
      <c r="I80" s="237">
        <v>21.64</v>
      </c>
      <c r="J80" s="320">
        <v>46219</v>
      </c>
      <c r="K80" s="86">
        <v>57526906</v>
      </c>
      <c r="L80" s="120">
        <v>92951211</v>
      </c>
      <c r="M80" s="88" t="s">
        <v>374</v>
      </c>
    </row>
    <row r="81" spans="1:20">
      <c r="A81" s="493">
        <v>77</v>
      </c>
      <c r="B81" s="122"/>
      <c r="C81" s="203"/>
      <c r="D81" s="494"/>
      <c r="E81" s="495"/>
      <c r="F81" s="205" t="s">
        <v>253</v>
      </c>
      <c r="G81" s="496"/>
      <c r="H81" s="506">
        <v>21.718</v>
      </c>
      <c r="I81" s="497">
        <v>21.66</v>
      </c>
      <c r="J81" s="498">
        <v>46219</v>
      </c>
      <c r="K81" s="499">
        <v>57526906</v>
      </c>
      <c r="L81" s="122">
        <v>92951212</v>
      </c>
      <c r="M81" s="203" t="s">
        <v>375</v>
      </c>
    </row>
    <row r="82" spans="1:20">
      <c r="A82" s="500">
        <v>78</v>
      </c>
      <c r="B82" s="501" t="s">
        <v>376</v>
      </c>
      <c r="C82" s="479"/>
      <c r="D82" s="502"/>
      <c r="E82" s="503"/>
      <c r="F82" s="205" t="s">
        <v>377</v>
      </c>
      <c r="G82" s="504">
        <v>1</v>
      </c>
      <c r="H82" s="585">
        <v>21.626999999999999</v>
      </c>
      <c r="I82" s="513">
        <v>21.58</v>
      </c>
      <c r="J82" s="505">
        <v>46240</v>
      </c>
      <c r="K82" s="247">
        <v>57551738</v>
      </c>
      <c r="L82" s="502">
        <v>93000397</v>
      </c>
      <c r="M82" s="502" t="s">
        <v>378</v>
      </c>
      <c r="R82" s="582" t="s">
        <v>379</v>
      </c>
      <c r="S82" s="584">
        <v>6757.04</v>
      </c>
      <c r="T82" s="583">
        <v>9</v>
      </c>
    </row>
    <row r="83" spans="1:20">
      <c r="A83" s="500">
        <v>79</v>
      </c>
      <c r="B83" s="501" t="s">
        <v>337</v>
      </c>
      <c r="C83" s="479"/>
      <c r="D83" s="502"/>
      <c r="E83" s="503"/>
      <c r="F83" s="205" t="s">
        <v>377</v>
      </c>
      <c r="G83" s="504">
        <v>3</v>
      </c>
      <c r="H83" s="585">
        <v>21.736000000000001</v>
      </c>
      <c r="I83" s="513">
        <v>21.69</v>
      </c>
      <c r="J83" s="505">
        <v>46240</v>
      </c>
      <c r="K83" s="247">
        <v>57553917</v>
      </c>
      <c r="L83" s="502">
        <v>93022063</v>
      </c>
      <c r="M83" s="502" t="s">
        <v>380</v>
      </c>
      <c r="R83" s="12" t="s">
        <v>381</v>
      </c>
      <c r="S83" s="202">
        <v>18947.62</v>
      </c>
      <c r="T83" s="12">
        <v>9</v>
      </c>
    </row>
    <row r="84" spans="1:20">
      <c r="A84" s="500">
        <v>80</v>
      </c>
      <c r="B84" s="503"/>
      <c r="C84" s="479"/>
      <c r="D84" s="502"/>
      <c r="E84" s="503"/>
      <c r="F84" s="205" t="s">
        <v>377</v>
      </c>
      <c r="G84" s="504"/>
      <c r="H84" s="585">
        <v>21.745000000000001</v>
      </c>
      <c r="I84" s="513">
        <v>21.59</v>
      </c>
      <c r="J84" s="505">
        <v>46240</v>
      </c>
      <c r="K84" s="247">
        <v>57553917</v>
      </c>
      <c r="L84" s="502">
        <v>93022064</v>
      </c>
      <c r="M84" s="502" t="s">
        <v>382</v>
      </c>
    </row>
    <row r="85" spans="1:20">
      <c r="A85" s="500">
        <v>81</v>
      </c>
      <c r="B85" s="503"/>
      <c r="C85" s="479"/>
      <c r="D85" s="502"/>
      <c r="E85" s="503"/>
      <c r="F85" s="205" t="s">
        <v>377</v>
      </c>
      <c r="G85" s="504"/>
      <c r="H85" s="585">
        <v>21.727</v>
      </c>
      <c r="I85" s="513">
        <v>21.68</v>
      </c>
      <c r="J85" s="505">
        <v>46240</v>
      </c>
      <c r="K85" s="247">
        <v>57553917</v>
      </c>
      <c r="L85" s="502">
        <v>93022065</v>
      </c>
      <c r="M85" s="502" t="s">
        <v>383</v>
      </c>
    </row>
    <row r="86" spans="1:20" ht="14.25" customHeight="1">
      <c r="A86" s="500">
        <v>82</v>
      </c>
      <c r="B86" s="419" t="s">
        <v>376</v>
      </c>
      <c r="C86" s="91"/>
      <c r="D86" s="88"/>
      <c r="E86" s="124"/>
      <c r="F86" s="205" t="s">
        <v>253</v>
      </c>
      <c r="G86" s="125">
        <v>4</v>
      </c>
      <c r="H86" s="115">
        <v>21.745000000000001</v>
      </c>
      <c r="I86" s="92">
        <v>21.65</v>
      </c>
      <c r="J86" s="320">
        <v>46241</v>
      </c>
      <c r="K86" s="86">
        <v>57554236</v>
      </c>
      <c r="L86" s="120">
        <v>93022067</v>
      </c>
      <c r="M86" s="88" t="s">
        <v>384</v>
      </c>
      <c r="R86" s="12" t="s">
        <v>385</v>
      </c>
      <c r="S86" s="202">
        <v>27337.200000000001</v>
      </c>
      <c r="T86" s="12">
        <v>9</v>
      </c>
    </row>
    <row r="87" spans="1:20">
      <c r="A87" s="500">
        <v>83</v>
      </c>
      <c r="B87" s="120"/>
      <c r="C87" s="88"/>
      <c r="D87" s="127"/>
      <c r="E87" s="128"/>
      <c r="F87" s="205" t="s">
        <v>253</v>
      </c>
      <c r="G87" s="129"/>
      <c r="H87" s="240">
        <v>21.727</v>
      </c>
      <c r="I87" s="237">
        <v>21.69</v>
      </c>
      <c r="J87" s="320">
        <v>46241</v>
      </c>
      <c r="K87" s="86">
        <v>57554236</v>
      </c>
      <c r="L87" s="120">
        <v>93022068</v>
      </c>
      <c r="M87" s="88" t="s">
        <v>386</v>
      </c>
    </row>
    <row r="88" spans="1:20">
      <c r="A88" s="500">
        <v>84</v>
      </c>
      <c r="B88" s="120"/>
      <c r="C88" s="88"/>
      <c r="D88" s="127"/>
      <c r="E88" s="128"/>
      <c r="F88" s="205" t="s">
        <v>253</v>
      </c>
      <c r="G88" s="129"/>
      <c r="H88" s="115">
        <v>21.681999999999999</v>
      </c>
      <c r="I88" s="237">
        <v>21.63</v>
      </c>
      <c r="J88" s="320">
        <v>46241</v>
      </c>
      <c r="K88" s="86">
        <v>57554236</v>
      </c>
      <c r="L88" s="120">
        <v>93022069</v>
      </c>
      <c r="M88" s="88" t="s">
        <v>387</v>
      </c>
    </row>
    <row r="89" spans="1:20">
      <c r="A89" s="500">
        <v>85</v>
      </c>
      <c r="B89" s="122"/>
      <c r="C89" s="203"/>
      <c r="D89" s="494"/>
      <c r="E89" s="495"/>
      <c r="F89" s="205" t="s">
        <v>253</v>
      </c>
      <c r="G89" s="496"/>
      <c r="H89" s="506">
        <v>21.727</v>
      </c>
      <c r="I89" s="497">
        <v>21.69</v>
      </c>
      <c r="J89" s="498">
        <v>46241</v>
      </c>
      <c r="K89" s="499">
        <v>57554236</v>
      </c>
      <c r="L89" s="122">
        <v>93022070</v>
      </c>
      <c r="M89" s="203" t="s">
        <v>388</v>
      </c>
    </row>
    <row r="90" spans="1:20">
      <c r="A90" s="500">
        <v>86</v>
      </c>
      <c r="B90" s="501" t="s">
        <v>389</v>
      </c>
      <c r="C90" s="479"/>
      <c r="D90" s="517"/>
      <c r="E90" s="503"/>
      <c r="F90" s="504" t="s">
        <v>253</v>
      </c>
      <c r="G90" s="504">
        <v>3</v>
      </c>
      <c r="H90" s="585">
        <v>21.727</v>
      </c>
      <c r="I90" s="518">
        <v>21.66</v>
      </c>
      <c r="J90" s="505">
        <v>46246</v>
      </c>
      <c r="K90" s="247">
        <v>57551738</v>
      </c>
      <c r="L90" s="502">
        <v>93000394</v>
      </c>
      <c r="M90" s="502" t="s">
        <v>390</v>
      </c>
      <c r="R90" s="12" t="s">
        <v>391</v>
      </c>
      <c r="S90" s="202">
        <v>20669.32</v>
      </c>
      <c r="T90" s="12">
        <v>9</v>
      </c>
    </row>
    <row r="91" spans="1:20">
      <c r="A91" s="500">
        <v>87</v>
      </c>
      <c r="B91" s="502"/>
      <c r="C91" s="502"/>
      <c r="D91" s="502"/>
      <c r="E91" s="503"/>
      <c r="F91" s="504" t="s">
        <v>253</v>
      </c>
      <c r="G91" s="504"/>
      <c r="H91" s="585">
        <v>21.727</v>
      </c>
      <c r="I91" s="518">
        <v>21.77</v>
      </c>
      <c r="J91" s="505">
        <v>46246</v>
      </c>
      <c r="K91" s="247">
        <v>57551738</v>
      </c>
      <c r="L91" s="502">
        <v>93000395</v>
      </c>
      <c r="M91" s="502" t="s">
        <v>392</v>
      </c>
    </row>
    <row r="92" spans="1:20">
      <c r="A92" s="500">
        <v>88</v>
      </c>
      <c r="B92" s="502"/>
      <c r="C92" s="502"/>
      <c r="D92" s="502"/>
      <c r="E92" s="503"/>
      <c r="F92" s="504" t="s">
        <v>253</v>
      </c>
      <c r="G92" s="504"/>
      <c r="H92" s="585">
        <v>21.727</v>
      </c>
      <c r="I92" s="518">
        <v>21.68</v>
      </c>
      <c r="J92" s="505">
        <v>46246</v>
      </c>
      <c r="K92" s="247">
        <v>57551738</v>
      </c>
      <c r="L92" s="502">
        <v>93000396</v>
      </c>
      <c r="M92" s="502" t="s">
        <v>393</v>
      </c>
    </row>
    <row r="93" spans="1:20">
      <c r="A93" s="500">
        <v>89</v>
      </c>
      <c r="B93" s="525" t="s">
        <v>394</v>
      </c>
      <c r="C93" s="500"/>
      <c r="D93" s="500"/>
      <c r="E93" s="500"/>
      <c r="F93" s="500" t="s">
        <v>253</v>
      </c>
      <c r="G93" s="500">
        <v>4</v>
      </c>
      <c r="H93" s="279">
        <v>21.745000000000001</v>
      </c>
      <c r="I93" s="401">
        <v>21.82</v>
      </c>
      <c r="J93" s="524">
        <v>46250</v>
      </c>
      <c r="K93" s="423">
        <v>57553899</v>
      </c>
      <c r="L93" s="500">
        <v>93000409</v>
      </c>
      <c r="M93" s="500" t="s">
        <v>395</v>
      </c>
      <c r="R93" s="12" t="s">
        <v>396</v>
      </c>
      <c r="S93" s="202">
        <v>27337.03</v>
      </c>
      <c r="T93" s="12">
        <v>9</v>
      </c>
    </row>
    <row r="94" spans="1:20">
      <c r="A94" s="500">
        <v>90</v>
      </c>
      <c r="B94" s="500"/>
      <c r="C94" s="500"/>
      <c r="D94" s="500"/>
      <c r="E94" s="500"/>
      <c r="F94" s="500" t="s">
        <v>253</v>
      </c>
      <c r="G94" s="500"/>
      <c r="H94" s="279">
        <v>21.745000000000001</v>
      </c>
      <c r="I94" s="401">
        <v>21.69</v>
      </c>
      <c r="J94" s="524">
        <v>46250</v>
      </c>
      <c r="K94" s="423">
        <v>57553899</v>
      </c>
      <c r="L94" s="500">
        <v>93000411</v>
      </c>
      <c r="M94" s="500" t="s">
        <v>397</v>
      </c>
    </row>
    <row r="95" spans="1:20">
      <c r="A95" s="500">
        <v>91</v>
      </c>
      <c r="B95" s="500"/>
      <c r="C95" s="500"/>
      <c r="D95" s="500"/>
      <c r="E95" s="500"/>
      <c r="F95" s="500" t="s">
        <v>253</v>
      </c>
      <c r="G95" s="500"/>
      <c r="H95" s="279">
        <v>21.654</v>
      </c>
      <c r="I95" s="401">
        <v>21.62</v>
      </c>
      <c r="J95" s="524">
        <v>46250</v>
      </c>
      <c r="K95" s="423">
        <v>57553899</v>
      </c>
      <c r="L95" s="500">
        <v>93000412</v>
      </c>
      <c r="M95" s="500" t="s">
        <v>398</v>
      </c>
    </row>
    <row r="96" spans="1:20">
      <c r="A96" s="500">
        <v>92</v>
      </c>
      <c r="B96" s="500"/>
      <c r="C96" s="500"/>
      <c r="D96" s="500"/>
      <c r="E96" s="500"/>
      <c r="F96" s="500" t="s">
        <v>253</v>
      </c>
      <c r="G96" s="500"/>
      <c r="H96" s="279">
        <v>21.736000000000001</v>
      </c>
      <c r="I96" s="401">
        <v>21.69</v>
      </c>
      <c r="J96" s="524">
        <v>46250</v>
      </c>
      <c r="K96" s="423">
        <v>57553899</v>
      </c>
      <c r="L96" s="500">
        <v>93000413</v>
      </c>
      <c r="M96" s="500" t="s">
        <v>399</v>
      </c>
    </row>
    <row r="97" spans="1:20">
      <c r="A97" s="500">
        <v>93</v>
      </c>
      <c r="B97" s="501" t="s">
        <v>313</v>
      </c>
      <c r="C97" s="479"/>
      <c r="D97" s="500"/>
      <c r="E97" s="500"/>
      <c r="F97" s="500" t="s">
        <v>253</v>
      </c>
      <c r="G97" s="500">
        <v>4</v>
      </c>
      <c r="H97" s="585">
        <v>21.727</v>
      </c>
      <c r="I97" s="518">
        <v>21.79</v>
      </c>
      <c r="J97" s="524">
        <v>46252</v>
      </c>
      <c r="K97" s="247">
        <v>57488976</v>
      </c>
      <c r="L97" s="500">
        <v>92923624</v>
      </c>
      <c r="M97" s="500" t="s">
        <v>400</v>
      </c>
      <c r="R97" s="12" t="s">
        <v>401</v>
      </c>
      <c r="S97" s="202">
        <v>25029.33</v>
      </c>
      <c r="T97" s="12">
        <v>9</v>
      </c>
    </row>
    <row r="98" spans="1:20">
      <c r="A98" s="500">
        <v>94</v>
      </c>
      <c r="B98" s="500"/>
      <c r="C98" s="479"/>
      <c r="D98" s="500"/>
      <c r="E98" s="500"/>
      <c r="F98" s="500" t="s">
        <v>253</v>
      </c>
      <c r="G98" s="500"/>
      <c r="H98" s="585">
        <v>21.718</v>
      </c>
      <c r="I98" s="518">
        <v>21.76</v>
      </c>
      <c r="J98" s="524">
        <v>46252</v>
      </c>
      <c r="K98" s="247">
        <v>57488976</v>
      </c>
      <c r="L98" s="500">
        <v>92923625</v>
      </c>
      <c r="M98" s="500" t="s">
        <v>402</v>
      </c>
    </row>
    <row r="99" spans="1:20">
      <c r="A99" s="500">
        <v>95</v>
      </c>
      <c r="B99" s="500"/>
      <c r="C99" s="192"/>
      <c r="D99" s="500"/>
      <c r="E99" s="500"/>
      <c r="F99" s="500" t="s">
        <v>253</v>
      </c>
      <c r="G99" s="500"/>
      <c r="H99" s="279">
        <v>21.718</v>
      </c>
      <c r="I99" s="401">
        <v>21.78</v>
      </c>
      <c r="J99" s="524">
        <v>46252</v>
      </c>
      <c r="K99" s="423">
        <v>57488976</v>
      </c>
      <c r="L99" s="500">
        <v>92923626</v>
      </c>
      <c r="M99" s="500" t="s">
        <v>403</v>
      </c>
    </row>
    <row r="100" spans="1:20">
      <c r="A100" s="500">
        <v>96</v>
      </c>
      <c r="B100" s="500"/>
      <c r="C100" s="104"/>
      <c r="D100" s="500"/>
      <c r="E100" s="500"/>
      <c r="F100" s="500" t="s">
        <v>253</v>
      </c>
      <c r="G100" s="500"/>
      <c r="H100" s="279">
        <v>21.617999999999999</v>
      </c>
      <c r="I100" s="401">
        <v>21.72</v>
      </c>
      <c r="J100" s="524">
        <v>46252</v>
      </c>
      <c r="K100" s="423">
        <v>57488976</v>
      </c>
      <c r="L100" s="500">
        <v>92923627</v>
      </c>
      <c r="M100" s="500" t="s">
        <v>404</v>
      </c>
    </row>
    <row r="101" spans="1:20">
      <c r="A101" s="500">
        <v>97</v>
      </c>
      <c r="B101" s="419" t="s">
        <v>376</v>
      </c>
      <c r="C101" s="104"/>
      <c r="D101" s="88"/>
      <c r="E101" s="161"/>
      <c r="F101" s="205" t="s">
        <v>253</v>
      </c>
      <c r="G101" s="129">
        <v>4</v>
      </c>
      <c r="H101" s="255">
        <v>21.727</v>
      </c>
      <c r="I101" s="571">
        <v>21.69</v>
      </c>
      <c r="J101" s="320">
        <v>46261</v>
      </c>
      <c r="K101" s="423">
        <v>57710988</v>
      </c>
      <c r="L101" s="120">
        <v>93044917</v>
      </c>
      <c r="M101" s="88" t="s">
        <v>405</v>
      </c>
      <c r="R101" s="12" t="s">
        <v>406</v>
      </c>
      <c r="S101" s="202">
        <v>27336.77</v>
      </c>
      <c r="T101" s="12">
        <v>9</v>
      </c>
    </row>
    <row r="102" spans="1:20">
      <c r="A102" s="500">
        <v>98</v>
      </c>
      <c r="B102" s="120"/>
      <c r="C102" s="104"/>
      <c r="D102" s="88"/>
      <c r="E102" s="161"/>
      <c r="F102" s="205" t="s">
        <v>253</v>
      </c>
      <c r="G102" s="129"/>
      <c r="H102" s="255">
        <v>21.718</v>
      </c>
      <c r="I102" s="571">
        <v>21.66</v>
      </c>
      <c r="J102" s="320">
        <v>46261</v>
      </c>
      <c r="K102" s="423">
        <v>57710988</v>
      </c>
      <c r="L102" s="120">
        <v>93044914</v>
      </c>
      <c r="M102" s="88" t="s">
        <v>407</v>
      </c>
    </row>
    <row r="103" spans="1:20">
      <c r="A103" s="500">
        <v>99</v>
      </c>
      <c r="B103" s="120"/>
      <c r="C103" s="104"/>
      <c r="D103" s="88"/>
      <c r="E103" s="161"/>
      <c r="F103" s="205" t="s">
        <v>253</v>
      </c>
      <c r="G103" s="162"/>
      <c r="H103" s="255">
        <v>21.727</v>
      </c>
      <c r="I103" s="571">
        <v>21.66</v>
      </c>
      <c r="J103" s="320">
        <v>46261</v>
      </c>
      <c r="K103" s="423">
        <v>57710988</v>
      </c>
      <c r="L103" s="120">
        <v>93044915</v>
      </c>
      <c r="M103" s="88" t="s">
        <v>408</v>
      </c>
    </row>
    <row r="104" spans="1:20">
      <c r="A104" s="500">
        <v>100</v>
      </c>
      <c r="B104" s="120"/>
      <c r="C104" s="104"/>
      <c r="D104" s="88"/>
      <c r="E104" s="161"/>
      <c r="F104" s="205" t="s">
        <v>253</v>
      </c>
      <c r="G104" s="162"/>
      <c r="H104" s="255">
        <v>21.727</v>
      </c>
      <c r="I104" s="571">
        <v>21.68</v>
      </c>
      <c r="J104" s="320">
        <v>46261</v>
      </c>
      <c r="K104" s="423">
        <v>57710988</v>
      </c>
      <c r="L104" s="120">
        <v>93044916</v>
      </c>
      <c r="M104" s="88" t="s">
        <v>409</v>
      </c>
    </row>
    <row r="105" spans="1:20">
      <c r="A105" s="500">
        <v>101</v>
      </c>
      <c r="B105" s="419" t="s">
        <v>410</v>
      </c>
      <c r="C105" s="104"/>
      <c r="D105" s="120"/>
      <c r="E105" s="120"/>
      <c r="F105" s="588" t="s">
        <v>253</v>
      </c>
      <c r="G105" s="588">
        <v>4</v>
      </c>
      <c r="H105" s="76">
        <v>21.225000000000001</v>
      </c>
      <c r="I105" s="589">
        <v>21.2</v>
      </c>
      <c r="J105" s="586">
        <v>46270</v>
      </c>
      <c r="K105" s="590">
        <v>57646705</v>
      </c>
      <c r="L105" s="587">
        <v>93012755</v>
      </c>
      <c r="M105" s="587" t="s">
        <v>411</v>
      </c>
      <c r="N105" s="625" t="s">
        <v>412</v>
      </c>
      <c r="R105" s="12" t="s">
        <v>413</v>
      </c>
      <c r="S105" s="202">
        <v>27377</v>
      </c>
      <c r="T105" s="12">
        <v>9</v>
      </c>
    </row>
    <row r="106" spans="1:20">
      <c r="A106" s="500">
        <v>102</v>
      </c>
      <c r="B106" s="120"/>
      <c r="C106" s="104"/>
      <c r="D106" s="120"/>
      <c r="E106" s="120"/>
      <c r="F106" s="588" t="s">
        <v>253</v>
      </c>
      <c r="G106" s="588"/>
      <c r="H106" s="76">
        <v>20.475000000000001</v>
      </c>
      <c r="I106" s="589">
        <v>20.420000000000002</v>
      </c>
      <c r="J106" s="586">
        <v>46270</v>
      </c>
      <c r="K106" s="590">
        <v>57646705</v>
      </c>
      <c r="L106" s="587">
        <v>93012753</v>
      </c>
      <c r="M106" s="587" t="s">
        <v>414</v>
      </c>
      <c r="N106" s="625"/>
    </row>
    <row r="107" spans="1:20">
      <c r="A107" s="500">
        <v>103</v>
      </c>
      <c r="B107" s="120"/>
      <c r="C107" s="104"/>
      <c r="D107" s="120"/>
      <c r="E107" s="120"/>
      <c r="F107" s="588" t="s">
        <v>253</v>
      </c>
      <c r="G107" s="588"/>
      <c r="H107" s="76">
        <v>21.718</v>
      </c>
      <c r="I107" s="589">
        <v>21.7</v>
      </c>
      <c r="J107" s="586">
        <v>46270</v>
      </c>
      <c r="K107" s="590">
        <v>57646705</v>
      </c>
      <c r="L107" s="587">
        <v>93012754</v>
      </c>
      <c r="M107" s="587" t="s">
        <v>415</v>
      </c>
      <c r="N107" s="625"/>
    </row>
    <row r="108" spans="1:20">
      <c r="A108" s="500">
        <v>104</v>
      </c>
      <c r="B108" s="120"/>
      <c r="C108" s="104"/>
      <c r="D108" s="120"/>
      <c r="E108" s="120"/>
      <c r="F108" s="588" t="s">
        <v>253</v>
      </c>
      <c r="G108" s="588"/>
      <c r="H108" s="76">
        <v>19.786000000000001</v>
      </c>
      <c r="I108" s="589">
        <v>19.72</v>
      </c>
      <c r="J108" s="586">
        <v>46270</v>
      </c>
      <c r="K108" s="590">
        <v>57646705</v>
      </c>
      <c r="L108" s="587">
        <v>93012756</v>
      </c>
      <c r="M108" s="587" t="s">
        <v>416</v>
      </c>
      <c r="N108" s="625"/>
    </row>
    <row r="109" spans="1:20">
      <c r="A109" s="500">
        <v>105</v>
      </c>
      <c r="B109" s="108" t="s">
        <v>417</v>
      </c>
      <c r="C109" s="104"/>
      <c r="D109" s="104"/>
      <c r="E109" s="215"/>
      <c r="F109" s="117" t="s">
        <v>253</v>
      </c>
      <c r="G109" s="216">
        <v>4</v>
      </c>
      <c r="H109" s="105">
        <v>21.7</v>
      </c>
      <c r="I109" s="83"/>
      <c r="J109" s="208"/>
      <c r="K109" s="211">
        <v>57553418</v>
      </c>
      <c r="L109" s="108">
        <v>93000402</v>
      </c>
      <c r="M109" s="104" t="s">
        <v>418</v>
      </c>
    </row>
    <row r="110" spans="1:20">
      <c r="A110" s="500">
        <v>106</v>
      </c>
      <c r="B110" s="108"/>
      <c r="C110" s="104"/>
      <c r="D110" s="104"/>
      <c r="E110" s="215"/>
      <c r="F110" s="117" t="s">
        <v>253</v>
      </c>
      <c r="G110" s="216"/>
      <c r="H110" s="105">
        <v>21.718</v>
      </c>
      <c r="I110" s="83"/>
      <c r="J110" s="208"/>
      <c r="K110" s="211">
        <v>57553418</v>
      </c>
      <c r="L110" s="108">
        <v>93000405</v>
      </c>
      <c r="M110" s="104" t="s">
        <v>419</v>
      </c>
    </row>
    <row r="111" spans="1:20">
      <c r="A111" s="500">
        <v>107</v>
      </c>
      <c r="B111" s="108"/>
      <c r="C111" s="104"/>
      <c r="D111" s="104"/>
      <c r="E111" s="215"/>
      <c r="F111" s="117" t="s">
        <v>253</v>
      </c>
      <c r="G111" s="216"/>
      <c r="H111" s="105">
        <v>20.684000000000001</v>
      </c>
      <c r="I111" s="83"/>
      <c r="J111" s="208"/>
      <c r="K111" s="211">
        <v>57553418</v>
      </c>
      <c r="L111" s="108">
        <v>93000406</v>
      </c>
      <c r="M111" s="104" t="s">
        <v>420</v>
      </c>
    </row>
    <row r="112" spans="1:20">
      <c r="A112" s="500">
        <v>108</v>
      </c>
      <c r="B112" s="108"/>
      <c r="C112" s="104"/>
      <c r="D112" s="104"/>
      <c r="E112" s="215"/>
      <c r="F112" s="117" t="s">
        <v>253</v>
      </c>
      <c r="G112" s="216"/>
      <c r="H112" s="105">
        <v>21.727</v>
      </c>
      <c r="I112" s="83"/>
      <c r="J112" s="208"/>
      <c r="K112" s="211">
        <v>57553418</v>
      </c>
      <c r="L112" s="108">
        <v>93000407</v>
      </c>
      <c r="M112" s="104" t="s">
        <v>421</v>
      </c>
    </row>
    <row r="113" spans="1:13">
      <c r="A113" s="500">
        <v>109</v>
      </c>
      <c r="B113" s="108" t="s">
        <v>302</v>
      </c>
      <c r="C113" s="104"/>
      <c r="D113" s="104"/>
      <c r="E113" s="215"/>
      <c r="F113" s="117" t="s">
        <v>253</v>
      </c>
      <c r="G113" s="216">
        <v>3</v>
      </c>
      <c r="H113" s="105">
        <v>21.718</v>
      </c>
      <c r="I113" s="83"/>
      <c r="J113" s="208"/>
      <c r="K113" s="211">
        <v>57711063</v>
      </c>
      <c r="L113" s="108">
        <v>93065713</v>
      </c>
      <c r="M113" s="104" t="s">
        <v>422</v>
      </c>
    </row>
    <row r="114" spans="1:13">
      <c r="A114" s="500">
        <v>110</v>
      </c>
      <c r="B114" s="108"/>
      <c r="C114" s="104"/>
      <c r="D114" s="104"/>
      <c r="E114" s="215"/>
      <c r="F114" s="117" t="s">
        <v>253</v>
      </c>
      <c r="G114" s="216"/>
      <c r="H114" s="105">
        <v>21.6</v>
      </c>
      <c r="I114" s="83"/>
      <c r="J114" s="208"/>
      <c r="K114" s="211">
        <v>57711063</v>
      </c>
      <c r="L114" s="108">
        <v>93065714</v>
      </c>
      <c r="M114" s="104" t="s">
        <v>423</v>
      </c>
    </row>
    <row r="115" spans="1:13">
      <c r="A115" s="500">
        <v>111</v>
      </c>
      <c r="B115" s="108"/>
      <c r="C115" s="104"/>
      <c r="D115" s="104"/>
      <c r="E115" s="215"/>
      <c r="F115" s="117" t="s">
        <v>253</v>
      </c>
      <c r="G115" s="216"/>
      <c r="H115" s="105">
        <v>21.617999999999999</v>
      </c>
      <c r="I115" s="83"/>
      <c r="J115" s="208"/>
      <c r="K115" s="211">
        <v>57711063</v>
      </c>
      <c r="L115" s="108">
        <v>93065715</v>
      </c>
      <c r="M115" s="104" t="s">
        <v>424</v>
      </c>
    </row>
    <row r="116" spans="1:13">
      <c r="A116" s="500">
        <v>112</v>
      </c>
      <c r="B116" s="108" t="s">
        <v>417</v>
      </c>
      <c r="C116" s="104"/>
      <c r="D116" s="104"/>
      <c r="E116" s="215"/>
      <c r="F116" s="117" t="s">
        <v>253</v>
      </c>
      <c r="G116" s="216">
        <v>4</v>
      </c>
      <c r="H116" s="105">
        <v>21.709</v>
      </c>
      <c r="I116" s="83"/>
      <c r="J116" s="208"/>
      <c r="K116" s="211">
        <v>57711027</v>
      </c>
      <c r="L116" s="108">
        <v>93044918</v>
      </c>
      <c r="M116" s="104" t="s">
        <v>425</v>
      </c>
    </row>
    <row r="117" spans="1:13">
      <c r="A117" s="500">
        <v>113</v>
      </c>
      <c r="B117" s="108"/>
      <c r="C117" s="104"/>
      <c r="D117" s="104"/>
      <c r="E117" s="215"/>
      <c r="F117" s="117" t="s">
        <v>253</v>
      </c>
      <c r="G117" s="216"/>
      <c r="H117" s="105">
        <v>21.709</v>
      </c>
      <c r="I117" s="83"/>
      <c r="J117" s="208"/>
      <c r="K117" s="211">
        <v>57711027</v>
      </c>
      <c r="L117" s="108">
        <v>93044920</v>
      </c>
      <c r="M117" s="104" t="s">
        <v>426</v>
      </c>
    </row>
    <row r="118" spans="1:13">
      <c r="A118" s="500">
        <v>114</v>
      </c>
      <c r="B118" s="108"/>
      <c r="C118" s="104"/>
      <c r="D118" s="104"/>
      <c r="E118" s="215"/>
      <c r="F118" s="117" t="s">
        <v>253</v>
      </c>
      <c r="G118" s="216"/>
      <c r="H118" s="105">
        <v>21.718</v>
      </c>
      <c r="I118" s="83"/>
      <c r="J118" s="208"/>
      <c r="K118" s="211">
        <v>57711027</v>
      </c>
      <c r="L118" s="108">
        <v>93044921</v>
      </c>
      <c r="M118" s="104" t="s">
        <v>427</v>
      </c>
    </row>
    <row r="119" spans="1:13">
      <c r="A119" s="500">
        <v>115</v>
      </c>
      <c r="B119" s="108"/>
      <c r="C119" s="104"/>
      <c r="D119" s="104"/>
      <c r="E119" s="215"/>
      <c r="F119" s="117" t="s">
        <v>253</v>
      </c>
      <c r="G119" s="216"/>
      <c r="H119" s="105">
        <v>21.727</v>
      </c>
      <c r="I119" s="83"/>
      <c r="J119" s="208"/>
      <c r="K119" s="211">
        <v>57711027</v>
      </c>
      <c r="L119" s="108">
        <v>93044922</v>
      </c>
      <c r="M119" s="104" t="s">
        <v>428</v>
      </c>
    </row>
    <row r="120" spans="1:13">
      <c r="A120" s="500">
        <v>116</v>
      </c>
      <c r="B120" s="108" t="s">
        <v>271</v>
      </c>
      <c r="C120" s="104"/>
      <c r="D120" s="104"/>
      <c r="E120" s="215"/>
      <c r="F120" s="117" t="s">
        <v>253</v>
      </c>
      <c r="G120" s="216">
        <v>4</v>
      </c>
      <c r="H120" s="105">
        <v>21.736000000000001</v>
      </c>
      <c r="I120" s="83"/>
      <c r="J120" s="208"/>
      <c r="K120" s="211">
        <v>57765478</v>
      </c>
      <c r="L120" s="108">
        <v>93081075</v>
      </c>
      <c r="M120" s="104" t="s">
        <v>429</v>
      </c>
    </row>
    <row r="121" spans="1:13">
      <c r="A121" s="500">
        <v>117</v>
      </c>
      <c r="B121" s="108"/>
      <c r="C121" s="104"/>
      <c r="D121" s="104"/>
      <c r="E121" s="215"/>
      <c r="F121" s="117" t="s">
        <v>253</v>
      </c>
      <c r="G121" s="216"/>
      <c r="H121" s="105">
        <v>21.745000000000001</v>
      </c>
      <c r="I121" s="83"/>
      <c r="J121" s="208"/>
      <c r="K121" s="211">
        <v>57765478</v>
      </c>
      <c r="L121" s="108">
        <v>93081076</v>
      </c>
      <c r="M121" s="104" t="s">
        <v>430</v>
      </c>
    </row>
    <row r="122" spans="1:13">
      <c r="A122" s="500">
        <v>118</v>
      </c>
      <c r="B122" s="108"/>
      <c r="C122" s="104"/>
      <c r="D122" s="104"/>
      <c r="E122" s="215"/>
      <c r="F122" s="117" t="s">
        <v>253</v>
      </c>
      <c r="G122" s="216"/>
      <c r="H122" s="105">
        <v>20.856000000000002</v>
      </c>
      <c r="I122" s="83"/>
      <c r="J122" s="208"/>
      <c r="K122" s="211">
        <v>57765478</v>
      </c>
      <c r="L122" s="108">
        <v>93081077</v>
      </c>
      <c r="M122" s="104" t="s">
        <v>431</v>
      </c>
    </row>
    <row r="123" spans="1:13">
      <c r="A123" s="500">
        <v>119</v>
      </c>
      <c r="B123" s="108"/>
      <c r="C123" s="104"/>
      <c r="D123" s="104"/>
      <c r="E123" s="215"/>
      <c r="F123" s="117" t="s">
        <v>253</v>
      </c>
      <c r="G123" s="216"/>
      <c r="H123" s="105">
        <v>21.736000000000001</v>
      </c>
      <c r="I123" s="83"/>
      <c r="J123" s="208"/>
      <c r="K123" s="211">
        <v>57765478</v>
      </c>
      <c r="L123" s="108">
        <v>93081078</v>
      </c>
      <c r="M123" s="104" t="s">
        <v>432</v>
      </c>
    </row>
    <row r="124" spans="1:13">
      <c r="A124" s="500">
        <v>120</v>
      </c>
      <c r="B124" s="108" t="s">
        <v>417</v>
      </c>
      <c r="C124" s="104"/>
      <c r="D124" s="104"/>
      <c r="E124" s="215"/>
      <c r="F124" s="117" t="s">
        <v>253</v>
      </c>
      <c r="G124" s="216">
        <v>4</v>
      </c>
      <c r="H124" s="105">
        <v>21.736000000000001</v>
      </c>
      <c r="I124" s="83"/>
      <c r="J124" s="208"/>
      <c r="K124" s="211">
        <v>57731272</v>
      </c>
      <c r="L124" s="108">
        <v>93065721</v>
      </c>
      <c r="M124" s="104" t="s">
        <v>433</v>
      </c>
    </row>
    <row r="125" spans="1:13">
      <c r="A125" s="500">
        <v>121</v>
      </c>
      <c r="B125" s="108"/>
      <c r="C125" s="104"/>
      <c r="D125" s="104"/>
      <c r="E125" s="215"/>
      <c r="F125" s="117" t="s">
        <v>253</v>
      </c>
      <c r="G125" s="216"/>
      <c r="H125" s="105">
        <v>21.745000000000001</v>
      </c>
      <c r="I125" s="83"/>
      <c r="J125" s="208"/>
      <c r="K125" s="211">
        <v>57731272</v>
      </c>
      <c r="L125" s="108">
        <v>93065722</v>
      </c>
      <c r="M125" s="104" t="s">
        <v>434</v>
      </c>
    </row>
    <row r="126" spans="1:13">
      <c r="A126" s="500">
        <v>122</v>
      </c>
      <c r="B126" s="108"/>
      <c r="C126" s="104"/>
      <c r="D126" s="104"/>
      <c r="E126" s="215"/>
      <c r="F126" s="117" t="s">
        <v>253</v>
      </c>
      <c r="G126" s="216"/>
      <c r="H126" s="105">
        <v>21.573</v>
      </c>
      <c r="I126" s="83"/>
      <c r="J126" s="208"/>
      <c r="K126" s="211">
        <v>57731272</v>
      </c>
      <c r="L126" s="108">
        <v>93065723</v>
      </c>
      <c r="M126" s="104" t="s">
        <v>435</v>
      </c>
    </row>
    <row r="127" spans="1:13">
      <c r="A127" s="500">
        <v>123</v>
      </c>
      <c r="B127" s="108"/>
      <c r="C127" s="104"/>
      <c r="D127" s="104"/>
      <c r="E127" s="215"/>
      <c r="F127" s="117" t="s">
        <v>253</v>
      </c>
      <c r="G127" s="216"/>
      <c r="H127" s="105">
        <v>20.356999999999999</v>
      </c>
      <c r="I127" s="83"/>
      <c r="J127" s="208"/>
      <c r="K127" s="211">
        <v>57731272</v>
      </c>
      <c r="L127" s="108">
        <v>93065724</v>
      </c>
      <c r="M127" s="104" t="s">
        <v>436</v>
      </c>
    </row>
    <row r="128" spans="1:13">
      <c r="A128" s="500">
        <v>124</v>
      </c>
      <c r="B128" s="108" t="s">
        <v>417</v>
      </c>
      <c r="C128" s="104"/>
      <c r="D128" s="104"/>
      <c r="E128" s="215"/>
      <c r="F128" s="117" t="s">
        <v>253</v>
      </c>
      <c r="G128" s="216">
        <v>4</v>
      </c>
      <c r="H128" s="105">
        <v>21.7</v>
      </c>
      <c r="I128" s="83"/>
      <c r="J128" s="208"/>
      <c r="K128" s="211">
        <v>57553418</v>
      </c>
      <c r="L128" s="108">
        <v>93000402</v>
      </c>
      <c r="M128" s="104" t="s">
        <v>418</v>
      </c>
    </row>
    <row r="129" spans="1:19">
      <c r="A129" s="500">
        <v>125</v>
      </c>
      <c r="B129" s="108"/>
      <c r="C129" s="104"/>
      <c r="D129" s="104"/>
      <c r="E129" s="215"/>
      <c r="F129" s="117" t="s">
        <v>253</v>
      </c>
      <c r="G129" s="216"/>
      <c r="H129" s="105">
        <v>21.718</v>
      </c>
      <c r="I129" s="83"/>
      <c r="J129" s="208"/>
      <c r="K129" s="211">
        <v>57553418</v>
      </c>
      <c r="L129" s="108">
        <v>93000405</v>
      </c>
      <c r="M129" s="104" t="s">
        <v>419</v>
      </c>
    </row>
    <row r="130" spans="1:19">
      <c r="A130" s="500">
        <v>126</v>
      </c>
      <c r="B130" s="108"/>
      <c r="C130" s="104"/>
      <c r="D130" s="104"/>
      <c r="E130" s="215"/>
      <c r="F130" s="117" t="s">
        <v>253</v>
      </c>
      <c r="G130" s="216"/>
      <c r="H130" s="105">
        <v>20.684000000000001</v>
      </c>
      <c r="I130" s="83"/>
      <c r="J130" s="208"/>
      <c r="K130" s="211">
        <v>57553418</v>
      </c>
      <c r="L130" s="108">
        <v>93000406</v>
      </c>
      <c r="M130" s="104" t="s">
        <v>420</v>
      </c>
    </row>
    <row r="131" spans="1:19">
      <c r="A131" s="500">
        <v>127</v>
      </c>
      <c r="B131" s="108"/>
      <c r="C131" s="104"/>
      <c r="D131" s="104"/>
      <c r="E131" s="215"/>
      <c r="F131" s="117" t="s">
        <v>253</v>
      </c>
      <c r="G131" s="216"/>
      <c r="H131" s="105">
        <v>21.727</v>
      </c>
      <c r="I131" s="83"/>
      <c r="J131" s="208"/>
      <c r="K131" s="211">
        <v>57553418</v>
      </c>
      <c r="L131" s="108">
        <v>93000407</v>
      </c>
      <c r="M131" s="104" t="s">
        <v>421</v>
      </c>
    </row>
    <row r="132" spans="1:19">
      <c r="A132" s="500">
        <v>128</v>
      </c>
      <c r="B132" s="108" t="s">
        <v>417</v>
      </c>
      <c r="C132" s="104"/>
      <c r="D132" s="104"/>
      <c r="E132" s="215"/>
      <c r="F132" s="117" t="s">
        <v>253</v>
      </c>
      <c r="G132" s="216">
        <v>4</v>
      </c>
      <c r="H132" s="105">
        <v>20.021999999999998</v>
      </c>
      <c r="I132" s="83"/>
      <c r="J132" s="208"/>
      <c r="K132" s="211">
        <v>57731267</v>
      </c>
      <c r="L132" s="108">
        <v>93065717</v>
      </c>
      <c r="M132" s="104" t="s">
        <v>437</v>
      </c>
    </row>
    <row r="133" spans="1:19">
      <c r="A133" s="500">
        <v>129</v>
      </c>
      <c r="B133" s="108"/>
      <c r="C133" s="104"/>
      <c r="D133" s="104"/>
      <c r="E133" s="215"/>
      <c r="F133" s="117" t="s">
        <v>253</v>
      </c>
      <c r="G133" s="216"/>
      <c r="H133" s="105">
        <v>20.021999999999998</v>
      </c>
      <c r="I133" s="83"/>
      <c r="J133" s="208"/>
      <c r="K133" s="211">
        <v>57731267</v>
      </c>
      <c r="L133" s="108">
        <v>93065718</v>
      </c>
      <c r="M133" s="104" t="s">
        <v>438</v>
      </c>
    </row>
    <row r="134" spans="1:19">
      <c r="A134" s="500">
        <v>130</v>
      </c>
      <c r="B134" s="108"/>
      <c r="C134" s="104"/>
      <c r="D134" s="104"/>
      <c r="E134" s="215"/>
      <c r="F134" s="117" t="s">
        <v>253</v>
      </c>
      <c r="G134" s="216"/>
      <c r="H134" s="105">
        <v>21.727</v>
      </c>
      <c r="I134" s="105"/>
      <c r="J134" s="208"/>
      <c r="K134" s="211">
        <v>57731267</v>
      </c>
      <c r="L134" s="108">
        <v>93065719</v>
      </c>
      <c r="M134" s="104" t="s">
        <v>439</v>
      </c>
    </row>
    <row r="135" spans="1:19">
      <c r="A135" s="500">
        <v>131</v>
      </c>
      <c r="B135" s="108"/>
      <c r="C135" s="104"/>
      <c r="D135" s="104"/>
      <c r="E135" s="215"/>
      <c r="F135" s="117" t="s">
        <v>253</v>
      </c>
      <c r="G135" s="216"/>
      <c r="H135" s="105">
        <v>20.466000000000001</v>
      </c>
      <c r="I135" s="83"/>
      <c r="J135" s="208"/>
      <c r="K135" s="211">
        <v>57731267</v>
      </c>
      <c r="L135" s="108">
        <v>93065720</v>
      </c>
      <c r="M135" s="104" t="s">
        <v>440</v>
      </c>
    </row>
    <row r="136" spans="1:19">
      <c r="A136" s="500">
        <v>132</v>
      </c>
      <c r="B136" s="108" t="s">
        <v>302</v>
      </c>
      <c r="C136" s="104"/>
      <c r="D136" s="104"/>
      <c r="E136" s="215"/>
      <c r="F136" s="117" t="s">
        <v>253</v>
      </c>
      <c r="G136" s="216">
        <v>3</v>
      </c>
      <c r="H136" s="105">
        <v>21.718</v>
      </c>
      <c r="I136" s="83"/>
      <c r="J136" s="208"/>
      <c r="K136" s="211">
        <v>57711063</v>
      </c>
      <c r="L136" s="108">
        <v>93065713</v>
      </c>
      <c r="M136" s="104" t="s">
        <v>422</v>
      </c>
    </row>
    <row r="137" spans="1:19">
      <c r="A137" s="500">
        <v>133</v>
      </c>
      <c r="B137" s="108"/>
      <c r="C137" s="104"/>
      <c r="D137" s="104"/>
      <c r="E137" s="215"/>
      <c r="F137" s="117" t="s">
        <v>253</v>
      </c>
      <c r="G137" s="216"/>
      <c r="H137" s="105">
        <v>21.6</v>
      </c>
      <c r="I137" s="83"/>
      <c r="J137" s="208"/>
      <c r="K137" s="211">
        <v>57711063</v>
      </c>
      <c r="L137" s="108">
        <v>93065714</v>
      </c>
      <c r="M137" s="104" t="s">
        <v>423</v>
      </c>
    </row>
    <row r="138" spans="1:19">
      <c r="A138" s="500">
        <v>134</v>
      </c>
      <c r="B138" s="108"/>
      <c r="C138" s="104"/>
      <c r="D138" s="104"/>
      <c r="E138" s="215"/>
      <c r="F138" s="117" t="s">
        <v>253</v>
      </c>
      <c r="G138" s="216"/>
      <c r="H138" s="105">
        <v>21.617999999999999</v>
      </c>
      <c r="I138" s="83"/>
      <c r="J138" s="208"/>
      <c r="K138" s="211">
        <v>57711063</v>
      </c>
      <c r="L138" s="108">
        <v>93065715</v>
      </c>
      <c r="M138" s="104" t="s">
        <v>424</v>
      </c>
    </row>
    <row r="139" spans="1:19">
      <c r="A139" s="500">
        <v>135</v>
      </c>
      <c r="B139" s="210" t="s">
        <v>302</v>
      </c>
      <c r="C139" s="217"/>
      <c r="D139" s="217"/>
      <c r="E139" s="218"/>
      <c r="F139" s="117" t="s">
        <v>253</v>
      </c>
      <c r="G139" s="130">
        <v>2</v>
      </c>
      <c r="H139" s="191">
        <v>21.582000000000001</v>
      </c>
      <c r="I139" s="209"/>
      <c r="J139" s="476"/>
      <c r="K139" s="211">
        <v>57731318</v>
      </c>
      <c r="L139" s="108">
        <v>93065727</v>
      </c>
      <c r="M139" s="104" t="s">
        <v>441</v>
      </c>
    </row>
    <row r="140" spans="1:19">
      <c r="A140" s="500">
        <v>136</v>
      </c>
      <c r="B140" s="479"/>
      <c r="C140" s="479"/>
      <c r="D140" s="479"/>
      <c r="E140" s="480"/>
      <c r="F140" s="481" t="s">
        <v>253</v>
      </c>
      <c r="G140" s="481"/>
      <c r="H140" s="481">
        <v>21.201000000000001</v>
      </c>
      <c r="I140" s="19"/>
      <c r="J140" s="482"/>
      <c r="K140" s="475">
        <v>57731318</v>
      </c>
      <c r="L140" s="108">
        <v>93065728</v>
      </c>
      <c r="M140" s="217" t="s">
        <v>442</v>
      </c>
    </row>
    <row r="141" spans="1:19">
      <c r="A141" s="500">
        <v>137</v>
      </c>
      <c r="B141" s="19" t="s">
        <v>443</v>
      </c>
      <c r="C141" s="479"/>
      <c r="D141" s="479"/>
      <c r="E141" s="480"/>
      <c r="F141" s="481" t="s">
        <v>253</v>
      </c>
      <c r="G141" s="481">
        <v>4</v>
      </c>
      <c r="H141" s="481">
        <v>21.736000000000001</v>
      </c>
      <c r="I141" s="19"/>
      <c r="J141" s="482"/>
      <c r="K141" s="475">
        <v>57765483</v>
      </c>
      <c r="L141" s="474">
        <v>93100397</v>
      </c>
      <c r="M141" s="19" t="s">
        <v>444</v>
      </c>
    </row>
    <row r="142" spans="1:19">
      <c r="A142" s="500">
        <v>138</v>
      </c>
      <c r="B142" s="479"/>
      <c r="C142" s="479"/>
      <c r="D142" s="479"/>
      <c r="E142" s="480"/>
      <c r="F142" s="481" t="s">
        <v>253</v>
      </c>
      <c r="G142" s="481"/>
      <c r="H142" s="481">
        <v>21.736000000000001</v>
      </c>
      <c r="I142" s="19"/>
      <c r="J142" s="482"/>
      <c r="K142" s="475">
        <v>57765483</v>
      </c>
      <c r="L142" s="474">
        <v>93100398</v>
      </c>
      <c r="M142" s="19" t="s">
        <v>445</v>
      </c>
    </row>
    <row r="143" spans="1:19">
      <c r="A143" s="500">
        <v>139</v>
      </c>
      <c r="B143" s="479"/>
      <c r="C143" s="479"/>
      <c r="D143" s="479"/>
      <c r="E143" s="480"/>
      <c r="F143" s="481" t="s">
        <v>253</v>
      </c>
      <c r="G143" s="481"/>
      <c r="H143" s="481">
        <v>21.727</v>
      </c>
      <c r="I143" s="19"/>
      <c r="J143" s="482"/>
      <c r="K143" s="475">
        <v>57765483</v>
      </c>
      <c r="L143" s="474">
        <v>93100399</v>
      </c>
      <c r="M143" s="19" t="s">
        <v>446</v>
      </c>
    </row>
    <row r="144" spans="1:19">
      <c r="A144" s="500">
        <v>140</v>
      </c>
      <c r="B144" s="479"/>
      <c r="C144" s="479"/>
      <c r="D144" s="479"/>
      <c r="E144" s="480"/>
      <c r="F144" s="481" t="s">
        <v>253</v>
      </c>
      <c r="G144" s="481"/>
      <c r="H144" s="481">
        <v>21.736000000000001</v>
      </c>
      <c r="I144" s="19"/>
      <c r="J144" s="482"/>
      <c r="K144" s="475">
        <v>57765483</v>
      </c>
      <c r="L144" s="474">
        <v>93100400</v>
      </c>
      <c r="M144" s="19" t="s">
        <v>447</v>
      </c>
      <c r="S144" s="207"/>
    </row>
    <row r="145" spans="1:13">
      <c r="A145" s="500">
        <v>141</v>
      </c>
      <c r="B145" s="19" t="s">
        <v>271</v>
      </c>
      <c r="C145" s="479"/>
      <c r="D145" s="479"/>
      <c r="E145" s="480"/>
      <c r="F145" s="481" t="s">
        <v>253</v>
      </c>
      <c r="G145" s="481">
        <v>3</v>
      </c>
      <c r="H145" s="481">
        <v>21.736000000000001</v>
      </c>
      <c r="I145" s="19"/>
      <c r="J145" s="482"/>
      <c r="K145" s="475">
        <v>57765479</v>
      </c>
      <c r="L145" s="474">
        <v>93100394</v>
      </c>
      <c r="M145" s="19" t="s">
        <v>448</v>
      </c>
    </row>
    <row r="146" spans="1:13">
      <c r="A146" s="500">
        <v>142</v>
      </c>
      <c r="B146" s="479"/>
      <c r="C146" s="479"/>
      <c r="D146" s="479"/>
      <c r="E146" s="480"/>
      <c r="F146" s="481" t="s">
        <v>253</v>
      </c>
      <c r="G146" s="481"/>
      <c r="H146" s="481">
        <v>21.727</v>
      </c>
      <c r="I146" s="51"/>
      <c r="J146" s="482"/>
      <c r="K146" s="475">
        <v>57765479</v>
      </c>
      <c r="L146" s="474">
        <v>93100395</v>
      </c>
      <c r="M146" s="19" t="s">
        <v>449</v>
      </c>
    </row>
    <row r="147" spans="1:13">
      <c r="A147" s="500">
        <v>143</v>
      </c>
      <c r="B147" s="479"/>
      <c r="C147" s="479"/>
      <c r="D147" s="479"/>
      <c r="E147" s="480"/>
      <c r="F147" s="481" t="s">
        <v>253</v>
      </c>
      <c r="G147" s="481"/>
      <c r="H147" s="481">
        <v>20.937999999999999</v>
      </c>
      <c r="I147" s="51"/>
      <c r="J147" s="482"/>
      <c r="K147" s="475">
        <v>57765479</v>
      </c>
      <c r="L147" s="474">
        <v>93100396</v>
      </c>
      <c r="M147" s="19" t="s">
        <v>450</v>
      </c>
    </row>
    <row r="148" spans="1:13">
      <c r="A148" s="500">
        <v>144</v>
      </c>
      <c r="B148" s="479" t="s">
        <v>451</v>
      </c>
      <c r="C148" s="479"/>
      <c r="D148" s="479"/>
      <c r="E148" s="480"/>
      <c r="F148" s="481" t="s">
        <v>253</v>
      </c>
      <c r="G148" s="481">
        <v>2</v>
      </c>
      <c r="H148" s="481">
        <v>21.8</v>
      </c>
      <c r="I148" s="51"/>
      <c r="J148" s="482"/>
      <c r="K148" s="475">
        <v>57816976</v>
      </c>
      <c r="L148" s="108">
        <v>93101633</v>
      </c>
      <c r="M148" s="192" t="s">
        <v>452</v>
      </c>
    </row>
    <row r="149" spans="1:13">
      <c r="A149" s="500">
        <v>145</v>
      </c>
      <c r="B149" s="479"/>
      <c r="C149" s="479"/>
      <c r="D149" s="479"/>
      <c r="E149" s="480"/>
      <c r="F149" s="481" t="s">
        <v>253</v>
      </c>
      <c r="G149" s="481"/>
      <c r="H149" s="481">
        <v>21.155999999999999</v>
      </c>
      <c r="I149" s="51"/>
      <c r="J149" s="482"/>
      <c r="K149" s="475">
        <v>57816976</v>
      </c>
      <c r="L149" s="108">
        <v>93101634</v>
      </c>
      <c r="M149" s="192" t="s">
        <v>453</v>
      </c>
    </row>
    <row r="150" spans="1:13">
      <c r="A150" s="500">
        <v>146</v>
      </c>
      <c r="B150" s="479" t="s">
        <v>443</v>
      </c>
      <c r="C150" s="479"/>
      <c r="D150" s="479"/>
      <c r="E150" s="480"/>
      <c r="F150" s="481" t="s">
        <v>253</v>
      </c>
      <c r="G150" s="481">
        <v>4</v>
      </c>
      <c r="H150" s="481">
        <v>21.736000000000001</v>
      </c>
      <c r="I150" s="19"/>
      <c r="J150" s="482"/>
      <c r="K150" s="475">
        <v>57765483</v>
      </c>
      <c r="L150" s="108">
        <v>93100397</v>
      </c>
      <c r="M150" s="104" t="s">
        <v>454</v>
      </c>
    </row>
    <row r="151" spans="1:13">
      <c r="A151" s="500">
        <v>147</v>
      </c>
      <c r="B151" s="479"/>
      <c r="C151" s="479"/>
      <c r="D151" s="479"/>
      <c r="E151" s="480"/>
      <c r="F151" s="481" t="s">
        <v>253</v>
      </c>
      <c r="G151" s="481"/>
      <c r="H151" s="481">
        <v>21.736000000000001</v>
      </c>
      <c r="I151" s="19"/>
      <c r="J151" s="482"/>
      <c r="K151" s="475">
        <v>57765483</v>
      </c>
      <c r="L151" s="108">
        <v>93100398</v>
      </c>
      <c r="M151" s="104" t="s">
        <v>455</v>
      </c>
    </row>
    <row r="152" spans="1:13">
      <c r="A152" s="500">
        <v>148</v>
      </c>
      <c r="B152" s="198"/>
      <c r="C152" s="192"/>
      <c r="D152" s="192"/>
      <c r="E152" s="193"/>
      <c r="F152" s="477" t="s">
        <v>253</v>
      </c>
      <c r="G152" s="194"/>
      <c r="H152" s="195">
        <v>21.727</v>
      </c>
      <c r="I152" s="196"/>
      <c r="J152" s="478"/>
      <c r="K152" s="475">
        <v>57765483</v>
      </c>
      <c r="L152" s="108">
        <v>93100399</v>
      </c>
      <c r="M152" s="104" t="s">
        <v>456</v>
      </c>
    </row>
    <row r="153" spans="1:13">
      <c r="A153" s="500">
        <v>149</v>
      </c>
      <c r="B153" s="108"/>
      <c r="C153" s="104"/>
      <c r="D153" s="104"/>
      <c r="E153" s="215"/>
      <c r="F153" s="117" t="s">
        <v>253</v>
      </c>
      <c r="G153" s="216"/>
      <c r="H153" s="105">
        <v>21.736000000000001</v>
      </c>
      <c r="I153" s="83"/>
      <c r="J153" s="208"/>
      <c r="K153" s="475">
        <v>57765483</v>
      </c>
      <c r="L153" s="108">
        <v>93100400</v>
      </c>
      <c r="M153" s="104" t="s">
        <v>457</v>
      </c>
    </row>
    <row r="154" spans="1:13">
      <c r="A154" s="500">
        <v>150</v>
      </c>
      <c r="B154" s="108" t="s">
        <v>389</v>
      </c>
      <c r="C154" s="104"/>
      <c r="D154" s="104"/>
      <c r="E154" s="215"/>
      <c r="F154" s="117" t="s">
        <v>253</v>
      </c>
      <c r="G154" s="216">
        <v>3</v>
      </c>
      <c r="H154" s="105">
        <v>21.736000000000001</v>
      </c>
      <c r="I154" s="83"/>
      <c r="J154" s="208"/>
      <c r="K154" s="211">
        <v>57918266</v>
      </c>
      <c r="L154" s="108">
        <v>93157885</v>
      </c>
      <c r="M154" s="104" t="s">
        <v>458</v>
      </c>
    </row>
    <row r="155" spans="1:13">
      <c r="A155" s="500">
        <v>151</v>
      </c>
      <c r="B155" s="108"/>
      <c r="C155" s="104"/>
      <c r="D155" s="104"/>
      <c r="E155" s="215"/>
      <c r="F155" s="117" t="s">
        <v>253</v>
      </c>
      <c r="G155" s="216"/>
      <c r="H155" s="105">
        <v>21.736000000000001</v>
      </c>
      <c r="I155" s="83"/>
      <c r="J155" s="208"/>
      <c r="K155" s="211">
        <v>57918266</v>
      </c>
      <c r="L155" s="108">
        <v>93157886</v>
      </c>
      <c r="M155" s="104" t="s">
        <v>459</v>
      </c>
    </row>
    <row r="156" spans="1:13">
      <c r="A156" s="500">
        <v>152</v>
      </c>
      <c r="B156" s="108"/>
      <c r="C156" s="104"/>
      <c r="D156" s="104"/>
      <c r="E156" s="215"/>
      <c r="F156" s="117" t="s">
        <v>253</v>
      </c>
      <c r="G156" s="216"/>
      <c r="H156" s="105">
        <v>21.736000000000001</v>
      </c>
      <c r="I156" s="83"/>
      <c r="J156" s="208"/>
      <c r="K156" s="211">
        <v>57918266</v>
      </c>
      <c r="L156" s="108">
        <v>93157884</v>
      </c>
      <c r="M156" s="104" t="s">
        <v>460</v>
      </c>
    </row>
    <row r="157" spans="1:13">
      <c r="A157" s="500">
        <v>153</v>
      </c>
      <c r="B157" s="108" t="s">
        <v>389</v>
      </c>
      <c r="C157" s="104"/>
      <c r="D157" s="104"/>
      <c r="E157" s="215"/>
      <c r="F157" s="117" t="s">
        <v>253</v>
      </c>
      <c r="G157" s="216">
        <v>3</v>
      </c>
      <c r="H157" s="105">
        <v>21.617999999999999</v>
      </c>
      <c r="I157" s="83"/>
      <c r="J157" s="208"/>
      <c r="K157" s="211">
        <v>57910993</v>
      </c>
      <c r="L157" s="108">
        <v>93157867</v>
      </c>
      <c r="M157" s="104" t="s">
        <v>461</v>
      </c>
    </row>
    <row r="158" spans="1:13">
      <c r="A158" s="500">
        <v>154</v>
      </c>
      <c r="B158" s="210"/>
      <c r="C158" s="217"/>
      <c r="D158" s="217"/>
      <c r="E158" s="218"/>
      <c r="F158" s="117" t="s">
        <v>253</v>
      </c>
      <c r="G158" s="216"/>
      <c r="H158" s="106">
        <v>21.736000000000001</v>
      </c>
      <c r="I158" s="83"/>
      <c r="J158" s="208"/>
      <c r="K158" s="211">
        <v>57910993</v>
      </c>
      <c r="L158" s="108">
        <v>93157869</v>
      </c>
      <c r="M158" s="104" t="s">
        <v>462</v>
      </c>
    </row>
    <row r="159" spans="1:13">
      <c r="A159" s="500">
        <v>155</v>
      </c>
      <c r="B159" s="479"/>
      <c r="C159" s="479"/>
      <c r="D159" s="479"/>
      <c r="E159" s="480"/>
      <c r="F159" s="569" t="s">
        <v>253</v>
      </c>
      <c r="G159" s="216"/>
      <c r="H159" s="105">
        <v>21.617999999999999</v>
      </c>
      <c r="I159" s="83"/>
      <c r="J159" s="208"/>
      <c r="K159" s="211">
        <v>57910993</v>
      </c>
      <c r="L159" s="108">
        <v>93157868</v>
      </c>
      <c r="M159" s="104" t="s">
        <v>463</v>
      </c>
    </row>
    <row r="160" spans="1:13">
      <c r="A160" s="500">
        <v>156</v>
      </c>
      <c r="B160" s="108" t="s">
        <v>389</v>
      </c>
      <c r="C160" s="479"/>
      <c r="D160" s="479"/>
      <c r="E160" s="480"/>
      <c r="F160" s="569" t="s">
        <v>253</v>
      </c>
      <c r="G160" s="216">
        <v>3</v>
      </c>
      <c r="H160" s="106">
        <v>20.021999999999998</v>
      </c>
      <c r="I160" s="83"/>
      <c r="J160" s="208"/>
      <c r="K160" s="211">
        <v>57910981</v>
      </c>
      <c r="L160" s="108">
        <v>93157861</v>
      </c>
      <c r="M160" s="104" t="s">
        <v>464</v>
      </c>
    </row>
    <row r="161" spans="1:19">
      <c r="A161" s="500">
        <v>157</v>
      </c>
      <c r="B161" s="479"/>
      <c r="C161" s="479"/>
      <c r="D161" s="479"/>
      <c r="E161" s="480"/>
      <c r="F161" s="569" t="s">
        <v>253</v>
      </c>
      <c r="G161" s="216"/>
      <c r="H161" s="106">
        <v>21.718</v>
      </c>
      <c r="I161" s="83"/>
      <c r="J161" s="208"/>
      <c r="K161" s="211">
        <v>57910981</v>
      </c>
      <c r="L161" s="108">
        <v>93157863</v>
      </c>
      <c r="M161" s="104" t="s">
        <v>465</v>
      </c>
    </row>
    <row r="162" spans="1:19">
      <c r="A162" s="500">
        <v>158</v>
      </c>
      <c r="B162" s="479"/>
      <c r="C162" s="479"/>
      <c r="D162" s="479"/>
      <c r="E162" s="480"/>
      <c r="F162" s="569" t="s">
        <v>253</v>
      </c>
      <c r="G162" s="216"/>
      <c r="H162" s="105">
        <v>21.745000000000001</v>
      </c>
      <c r="I162" s="83"/>
      <c r="J162" s="208"/>
      <c r="K162" s="211">
        <v>57910981</v>
      </c>
      <c r="L162" s="108">
        <v>93157865</v>
      </c>
      <c r="M162" s="104" t="s">
        <v>466</v>
      </c>
      <c r="S162" s="207"/>
    </row>
    <row r="163" spans="1:19">
      <c r="A163" s="500">
        <v>159</v>
      </c>
      <c r="B163" s="479" t="s">
        <v>467</v>
      </c>
      <c r="C163" s="479"/>
      <c r="D163" s="479"/>
      <c r="E163" s="480"/>
      <c r="F163" s="569" t="s">
        <v>253</v>
      </c>
      <c r="G163" s="216">
        <v>3</v>
      </c>
      <c r="H163" s="105">
        <v>21.727</v>
      </c>
      <c r="I163" s="83"/>
      <c r="J163" s="208"/>
      <c r="K163" s="211">
        <v>57910995</v>
      </c>
      <c r="L163" s="108">
        <v>93157873</v>
      </c>
      <c r="M163" s="104" t="s">
        <v>468</v>
      </c>
    </row>
    <row r="164" spans="1:19">
      <c r="A164" s="500">
        <v>160</v>
      </c>
      <c r="B164" s="479"/>
      <c r="C164" s="479"/>
      <c r="D164" s="479"/>
      <c r="E164" s="480"/>
      <c r="F164" s="569" t="s">
        <v>253</v>
      </c>
      <c r="G164" s="216"/>
      <c r="H164" s="105">
        <v>22.126000000000001</v>
      </c>
      <c r="I164" s="83"/>
      <c r="J164" s="208"/>
      <c r="K164" s="211">
        <v>57910995</v>
      </c>
      <c r="L164" s="108">
        <v>93157874</v>
      </c>
      <c r="M164" s="104" t="s">
        <v>469</v>
      </c>
    </row>
    <row r="165" spans="1:19">
      <c r="A165" s="500">
        <v>161</v>
      </c>
      <c r="B165" s="479"/>
      <c r="C165" s="479"/>
      <c r="D165" s="479"/>
      <c r="E165" s="480"/>
      <c r="F165" s="569" t="s">
        <v>253</v>
      </c>
      <c r="G165" s="216"/>
      <c r="H165" s="105">
        <v>21.718</v>
      </c>
      <c r="I165" s="83"/>
      <c r="J165" s="208"/>
      <c r="K165" s="211">
        <v>57910995</v>
      </c>
      <c r="L165" s="108">
        <v>93157877</v>
      </c>
      <c r="M165" s="104" t="s">
        <v>470</v>
      </c>
      <c r="S165" s="207"/>
    </row>
    <row r="166" spans="1:19">
      <c r="A166" s="500">
        <v>162</v>
      </c>
      <c r="B166" s="479" t="s">
        <v>467</v>
      </c>
      <c r="C166" s="479"/>
      <c r="D166" s="479"/>
      <c r="E166" s="480"/>
      <c r="F166" s="569" t="s">
        <v>253</v>
      </c>
      <c r="G166" s="216">
        <v>3</v>
      </c>
      <c r="H166" s="105">
        <v>21.573</v>
      </c>
      <c r="I166" s="83"/>
      <c r="J166" s="208"/>
      <c r="K166" s="211">
        <v>57968288</v>
      </c>
      <c r="L166" s="108">
        <v>93179726</v>
      </c>
      <c r="M166" s="104" t="s">
        <v>471</v>
      </c>
    </row>
    <row r="167" spans="1:19">
      <c r="A167" s="500">
        <v>163</v>
      </c>
      <c r="B167" s="479"/>
      <c r="C167" s="479"/>
      <c r="D167" s="479"/>
      <c r="E167" s="480"/>
      <c r="F167" s="569" t="s">
        <v>253</v>
      </c>
      <c r="G167" s="216"/>
      <c r="H167" s="105">
        <v>21.609000000000002</v>
      </c>
      <c r="I167" s="83"/>
      <c r="J167" s="208"/>
      <c r="K167" s="211">
        <v>57968288</v>
      </c>
      <c r="L167" s="108">
        <v>93179727</v>
      </c>
      <c r="M167" s="104" t="s">
        <v>472</v>
      </c>
    </row>
    <row r="168" spans="1:19">
      <c r="A168" s="500">
        <v>164</v>
      </c>
      <c r="B168" s="479"/>
      <c r="C168" s="479"/>
      <c r="D168" s="479"/>
      <c r="E168" s="480"/>
      <c r="F168" s="569" t="s">
        <v>253</v>
      </c>
      <c r="G168" s="216"/>
      <c r="H168" s="105">
        <v>21.428000000000001</v>
      </c>
      <c r="I168" s="83"/>
      <c r="J168" s="208"/>
      <c r="K168" s="211">
        <v>57968288</v>
      </c>
      <c r="L168" s="108">
        <v>93179728</v>
      </c>
      <c r="M168" s="104" t="s">
        <v>473</v>
      </c>
    </row>
    <row r="169" spans="1:19">
      <c r="A169" s="500">
        <v>165</v>
      </c>
      <c r="B169" s="479" t="s">
        <v>467</v>
      </c>
      <c r="C169" s="479"/>
      <c r="D169" s="479"/>
      <c r="E169" s="480"/>
      <c r="F169" s="569" t="s">
        <v>253</v>
      </c>
      <c r="G169" s="216">
        <v>3</v>
      </c>
      <c r="H169" s="105">
        <v>21.382000000000001</v>
      </c>
      <c r="I169" s="83"/>
      <c r="J169" s="208"/>
      <c r="K169" s="211">
        <v>57918270</v>
      </c>
      <c r="L169" s="108">
        <v>93157887</v>
      </c>
      <c r="M169" s="104" t="s">
        <v>474</v>
      </c>
      <c r="S169" s="207"/>
    </row>
    <row r="170" spans="1:19">
      <c r="A170" s="500">
        <v>166</v>
      </c>
      <c r="B170" s="479"/>
      <c r="C170" s="479"/>
      <c r="D170" s="479"/>
      <c r="E170" s="480"/>
      <c r="F170" s="569" t="s">
        <v>253</v>
      </c>
      <c r="G170" s="216"/>
      <c r="H170" s="105">
        <v>21.736000000000001</v>
      </c>
      <c r="I170" s="83"/>
      <c r="J170" s="208"/>
      <c r="K170" s="211">
        <v>57918270</v>
      </c>
      <c r="L170" s="108">
        <v>93157889</v>
      </c>
      <c r="M170" s="104" t="s">
        <v>475</v>
      </c>
    </row>
    <row r="171" spans="1:19">
      <c r="A171" s="500">
        <v>167</v>
      </c>
      <c r="B171" s="479"/>
      <c r="C171" s="479"/>
      <c r="D171" s="479"/>
      <c r="E171" s="480"/>
      <c r="F171" s="569" t="s">
        <v>253</v>
      </c>
      <c r="G171" s="216"/>
      <c r="H171" s="105">
        <v>21.518000000000001</v>
      </c>
      <c r="I171" s="83"/>
      <c r="J171" s="208"/>
      <c r="K171" s="211">
        <v>57918270</v>
      </c>
      <c r="L171" s="108">
        <v>93157891</v>
      </c>
      <c r="M171" s="104" t="s">
        <v>476</v>
      </c>
    </row>
    <row r="172" spans="1:19">
      <c r="A172" s="500">
        <v>168</v>
      </c>
      <c r="B172" s="479" t="s">
        <v>417</v>
      </c>
      <c r="C172" s="479"/>
      <c r="D172" s="479"/>
      <c r="E172" s="480"/>
      <c r="F172" s="569" t="s">
        <v>253</v>
      </c>
      <c r="G172" s="216">
        <v>1</v>
      </c>
      <c r="H172" s="105">
        <v>20.92</v>
      </c>
      <c r="I172" s="106">
        <v>20.91</v>
      </c>
      <c r="J172" s="208">
        <v>46284</v>
      </c>
      <c r="K172" s="211">
        <v>57711063</v>
      </c>
      <c r="L172" s="108">
        <v>93065716</v>
      </c>
      <c r="M172" s="104" t="s">
        <v>631</v>
      </c>
      <c r="S172" s="207"/>
    </row>
    <row r="173" spans="1:19">
      <c r="A173" s="500">
        <v>169</v>
      </c>
      <c r="B173" s="479" t="s">
        <v>417</v>
      </c>
      <c r="C173" s="479"/>
      <c r="D173" s="479"/>
      <c r="E173" s="480"/>
      <c r="F173" s="569" t="s">
        <v>253</v>
      </c>
      <c r="G173" s="216">
        <v>4</v>
      </c>
      <c r="H173" s="105">
        <v>20.021999999999998</v>
      </c>
      <c r="I173" s="106">
        <v>19.96</v>
      </c>
      <c r="J173" s="208">
        <v>46284</v>
      </c>
      <c r="K173" s="211">
        <v>57731267</v>
      </c>
      <c r="L173" s="108">
        <v>93065717</v>
      </c>
      <c r="M173" s="104" t="s">
        <v>437</v>
      </c>
    </row>
    <row r="174" spans="1:19">
      <c r="A174" s="500">
        <v>170</v>
      </c>
      <c r="B174" s="479"/>
      <c r="C174" s="479"/>
      <c r="D174" s="479"/>
      <c r="E174" s="480"/>
      <c r="F174" s="569" t="s">
        <v>253</v>
      </c>
      <c r="G174" s="216"/>
      <c r="H174" s="105">
        <v>20.021999999999998</v>
      </c>
      <c r="I174" s="106">
        <v>19.97</v>
      </c>
      <c r="J174" s="208">
        <v>46284</v>
      </c>
      <c r="K174" s="211">
        <v>57731267</v>
      </c>
      <c r="L174" s="108">
        <v>93065718</v>
      </c>
      <c r="M174" s="104" t="s">
        <v>438</v>
      </c>
    </row>
    <row r="175" spans="1:19">
      <c r="A175" s="500">
        <v>171</v>
      </c>
      <c r="B175" s="479"/>
      <c r="C175" s="479"/>
      <c r="D175" s="479"/>
      <c r="E175" s="480"/>
      <c r="F175" s="569" t="s">
        <v>253</v>
      </c>
      <c r="G175" s="216"/>
      <c r="H175" s="105">
        <v>21.727</v>
      </c>
      <c r="I175" s="106">
        <v>21.72</v>
      </c>
      <c r="J175" s="208">
        <v>46284</v>
      </c>
      <c r="K175" s="211">
        <v>57731267</v>
      </c>
      <c r="L175" s="108">
        <v>93065719</v>
      </c>
      <c r="M175" s="104" t="s">
        <v>439</v>
      </c>
    </row>
    <row r="176" spans="1:19">
      <c r="A176" s="500">
        <v>172</v>
      </c>
      <c r="B176" s="479"/>
      <c r="C176" s="479"/>
      <c r="D176" s="479"/>
      <c r="E176" s="480"/>
      <c r="F176" s="569" t="s">
        <v>253</v>
      </c>
      <c r="G176" s="216"/>
      <c r="H176" s="105">
        <v>20.466000000000001</v>
      </c>
      <c r="I176" s="106">
        <v>20.72</v>
      </c>
      <c r="J176" s="208">
        <v>46284</v>
      </c>
      <c r="K176" s="211"/>
      <c r="L176" s="108">
        <v>93065720</v>
      </c>
      <c r="M176" s="104" t="s">
        <v>440</v>
      </c>
      <c r="S176" s="207"/>
    </row>
    <row r="177" spans="1:19">
      <c r="A177" s="500">
        <v>173</v>
      </c>
      <c r="B177" s="479"/>
      <c r="C177" s="479"/>
      <c r="D177" s="479"/>
      <c r="E177" s="480"/>
      <c r="F177" s="569" t="s">
        <v>253</v>
      </c>
      <c r="G177" s="216"/>
      <c r="H177" s="105"/>
      <c r="I177" s="83"/>
      <c r="J177" s="208"/>
      <c r="K177" s="211"/>
      <c r="L177" s="108"/>
      <c r="M177" s="104"/>
    </row>
    <row r="178" spans="1:19">
      <c r="A178" s="500">
        <v>174</v>
      </c>
      <c r="B178" s="479"/>
      <c r="C178" s="479"/>
      <c r="D178" s="479"/>
      <c r="E178" s="480"/>
      <c r="F178" s="569" t="s">
        <v>253</v>
      </c>
      <c r="G178" s="216"/>
      <c r="H178" s="105"/>
      <c r="I178" s="83"/>
      <c r="J178" s="208"/>
      <c r="K178" s="211"/>
      <c r="L178" s="108"/>
      <c r="M178" s="104"/>
    </row>
    <row r="179" spans="1:19">
      <c r="A179" s="500">
        <v>175</v>
      </c>
      <c r="B179" s="479"/>
      <c r="C179" s="479"/>
      <c r="D179" s="479"/>
      <c r="E179" s="480"/>
      <c r="F179" s="569" t="s">
        <v>253</v>
      </c>
      <c r="G179" s="216"/>
      <c r="H179" s="105"/>
      <c r="I179" s="83"/>
      <c r="J179" s="208"/>
      <c r="K179" s="211"/>
      <c r="L179" s="108"/>
      <c r="M179" s="104"/>
    </row>
    <row r="180" spans="1:19">
      <c r="A180" s="500">
        <v>176</v>
      </c>
      <c r="B180" s="479"/>
      <c r="C180" s="479"/>
      <c r="D180" s="479"/>
      <c r="E180" s="480"/>
      <c r="F180" s="569" t="s">
        <v>253</v>
      </c>
      <c r="G180" s="216"/>
      <c r="H180" s="105"/>
      <c r="I180" s="83"/>
      <c r="J180" s="208"/>
      <c r="K180" s="211"/>
      <c r="L180" s="108"/>
      <c r="M180" s="104"/>
      <c r="S180" s="207"/>
    </row>
    <row r="181" spans="1:19">
      <c r="A181" s="500">
        <v>177</v>
      </c>
      <c r="B181" s="479"/>
      <c r="C181" s="479"/>
      <c r="D181" s="479"/>
      <c r="E181" s="480"/>
      <c r="F181" s="569" t="s">
        <v>253</v>
      </c>
      <c r="G181" s="216"/>
      <c r="H181" s="105"/>
      <c r="I181" s="83"/>
      <c r="J181" s="208"/>
      <c r="K181" s="211"/>
      <c r="L181" s="108"/>
      <c r="M181" s="104"/>
    </row>
    <row r="182" spans="1:19">
      <c r="A182" s="500">
        <v>178</v>
      </c>
      <c r="B182" s="479"/>
      <c r="C182" s="479"/>
      <c r="D182" s="479"/>
      <c r="E182" s="480"/>
      <c r="F182" s="569" t="s">
        <v>253</v>
      </c>
      <c r="G182" s="216"/>
      <c r="H182" s="105"/>
      <c r="I182" s="83"/>
      <c r="J182" s="208"/>
      <c r="K182" s="211"/>
      <c r="L182" s="108"/>
      <c r="M182" s="104"/>
    </row>
    <row r="183" spans="1:19">
      <c r="A183" s="500">
        <v>179</v>
      </c>
      <c r="B183" s="479"/>
      <c r="C183" s="479"/>
      <c r="D183" s="479"/>
      <c r="E183" s="480"/>
      <c r="F183" s="569" t="s">
        <v>253</v>
      </c>
      <c r="G183" s="130"/>
      <c r="H183" s="191"/>
      <c r="I183" s="209"/>
      <c r="J183" s="208"/>
      <c r="K183" s="213"/>
      <c r="L183" s="210"/>
      <c r="M183" s="104"/>
    </row>
    <row r="184" spans="1:19">
      <c r="A184" s="500">
        <v>180</v>
      </c>
      <c r="B184" s="479"/>
      <c r="C184" s="479"/>
      <c r="D184" s="479"/>
      <c r="E184" s="480"/>
      <c r="F184" s="569" t="s">
        <v>253</v>
      </c>
      <c r="G184" s="106"/>
      <c r="H184" s="106"/>
      <c r="I184" s="83"/>
      <c r="J184" s="83"/>
      <c r="K184" s="83"/>
      <c r="L184" s="108"/>
      <c r="M184" s="104"/>
    </row>
    <row r="185" spans="1:19">
      <c r="A185" s="500">
        <v>181</v>
      </c>
      <c r="B185" s="479"/>
      <c r="C185" s="479"/>
      <c r="D185" s="479"/>
      <c r="E185" s="480"/>
      <c r="F185" s="569" t="s">
        <v>253</v>
      </c>
      <c r="G185" s="106"/>
      <c r="H185" s="106"/>
      <c r="I185" s="83"/>
      <c r="J185" s="83"/>
      <c r="K185" s="83"/>
      <c r="L185" s="108"/>
      <c r="M185" s="104"/>
    </row>
    <row r="186" spans="1:19">
      <c r="A186" s="500">
        <v>182</v>
      </c>
      <c r="B186" s="479"/>
      <c r="C186" s="479"/>
      <c r="D186" s="479"/>
      <c r="E186" s="480"/>
      <c r="F186" s="569" t="s">
        <v>253</v>
      </c>
      <c r="G186" s="106"/>
      <c r="H186" s="106"/>
      <c r="I186" s="83"/>
      <c r="J186" s="83"/>
      <c r="K186" s="83"/>
      <c r="L186" s="108"/>
      <c r="M186" s="104"/>
    </row>
    <row r="187" spans="1:19">
      <c r="A187" s="500">
        <v>183</v>
      </c>
      <c r="B187" s="479"/>
      <c r="C187" s="479"/>
      <c r="D187" s="479"/>
      <c r="E187" s="480"/>
      <c r="F187" s="569" t="s">
        <v>253</v>
      </c>
      <c r="G187" s="106"/>
      <c r="H187" s="106"/>
      <c r="I187" s="83"/>
      <c r="J187" s="83"/>
      <c r="K187" s="83"/>
      <c r="L187" s="108"/>
      <c r="M187" s="104"/>
    </row>
    <row r="188" spans="1:19">
      <c r="A188" s="500">
        <v>184</v>
      </c>
      <c r="B188" s="479"/>
      <c r="C188" s="479"/>
      <c r="D188" s="479"/>
      <c r="E188" s="480"/>
      <c r="F188" s="569" t="s">
        <v>253</v>
      </c>
      <c r="G188" s="106"/>
      <c r="H188" s="106"/>
      <c r="I188" s="83"/>
      <c r="J188" s="83"/>
      <c r="K188" s="83"/>
      <c r="L188" s="108"/>
      <c r="M188" s="104"/>
    </row>
    <row r="189" spans="1:19">
      <c r="A189" s="500">
        <v>185</v>
      </c>
      <c r="B189" s="479"/>
      <c r="C189" s="479"/>
      <c r="D189" s="479"/>
      <c r="E189" s="480"/>
      <c r="F189" s="569" t="s">
        <v>253</v>
      </c>
      <c r="G189" s="106"/>
      <c r="H189" s="106"/>
      <c r="I189" s="83"/>
      <c r="J189" s="83"/>
      <c r="K189" s="83"/>
      <c r="L189" s="108"/>
      <c r="M189" s="104"/>
    </row>
    <row r="190" spans="1:19">
      <c r="A190" s="500">
        <v>186</v>
      </c>
      <c r="B190" s="479"/>
      <c r="C190" s="479"/>
      <c r="D190" s="479"/>
      <c r="E190" s="480"/>
      <c r="F190" s="569" t="s">
        <v>253</v>
      </c>
      <c r="G190" s="106"/>
      <c r="H190" s="106"/>
      <c r="I190" s="83"/>
      <c r="J190" s="83"/>
      <c r="K190" s="83"/>
      <c r="L190" s="108"/>
      <c r="M190" s="104"/>
    </row>
    <row r="191" spans="1:19">
      <c r="A191" s="500">
        <v>187</v>
      </c>
      <c r="B191" s="103"/>
      <c r="C191" s="192"/>
      <c r="D191" s="198"/>
      <c r="E191" s="570"/>
      <c r="F191" s="117" t="s">
        <v>253</v>
      </c>
      <c r="G191" s="106"/>
      <c r="H191" s="106"/>
      <c r="I191" s="83"/>
      <c r="J191" s="83"/>
      <c r="K191" s="83"/>
      <c r="L191" s="108"/>
      <c r="M191" s="104"/>
    </row>
    <row r="192" spans="1:19">
      <c r="A192" s="500">
        <v>188</v>
      </c>
      <c r="B192" s="103"/>
      <c r="C192" s="104"/>
      <c r="D192" s="108"/>
      <c r="E192" s="190"/>
      <c r="F192" s="117" t="s">
        <v>253</v>
      </c>
      <c r="G192" s="106"/>
      <c r="H192" s="106"/>
      <c r="I192" s="83"/>
      <c r="J192" s="83"/>
      <c r="K192" s="83"/>
      <c r="L192" s="108"/>
      <c r="M192" s="104"/>
    </row>
    <row r="193" spans="1:19">
      <c r="A193" s="500">
        <v>189</v>
      </c>
      <c r="B193" s="103"/>
      <c r="C193" s="104"/>
      <c r="D193" s="108"/>
      <c r="E193" s="190"/>
      <c r="F193" s="117" t="s">
        <v>253</v>
      </c>
      <c r="G193" s="106"/>
      <c r="H193" s="106"/>
      <c r="I193" s="83"/>
      <c r="J193" s="83"/>
      <c r="K193" s="83"/>
      <c r="L193" s="108"/>
      <c r="M193" s="104"/>
    </row>
    <row r="194" spans="1:19">
      <c r="A194" s="500">
        <v>190</v>
      </c>
      <c r="B194" s="103"/>
      <c r="C194" s="104"/>
      <c r="D194" s="108"/>
      <c r="E194" s="190"/>
      <c r="F194" s="117" t="s">
        <v>253</v>
      </c>
      <c r="G194" s="106"/>
      <c r="H194" s="106"/>
      <c r="I194" s="83"/>
      <c r="J194" s="83"/>
      <c r="K194" s="83"/>
      <c r="L194" s="108"/>
      <c r="M194" s="104"/>
    </row>
    <row r="195" spans="1:19">
      <c r="A195" s="500">
        <v>191</v>
      </c>
      <c r="B195" s="103"/>
      <c r="C195" s="104"/>
      <c r="D195" s="108"/>
      <c r="E195" s="190"/>
      <c r="F195" s="117" t="s">
        <v>253</v>
      </c>
      <c r="G195" s="106"/>
      <c r="H195" s="106"/>
      <c r="I195" s="83"/>
      <c r="J195" s="83"/>
      <c r="K195" s="83"/>
      <c r="L195" s="108"/>
      <c r="M195" s="104"/>
    </row>
    <row r="196" spans="1:19">
      <c r="A196" s="500">
        <v>192</v>
      </c>
      <c r="B196" s="103"/>
      <c r="C196" s="104"/>
      <c r="D196" s="108"/>
      <c r="E196" s="190"/>
      <c r="F196" s="117" t="s">
        <v>253</v>
      </c>
      <c r="G196" s="106"/>
      <c r="H196" s="106"/>
      <c r="I196" s="83"/>
      <c r="J196" s="83"/>
      <c r="K196" s="83"/>
      <c r="L196" s="108"/>
      <c r="M196" s="104"/>
    </row>
    <row r="197" spans="1:19">
      <c r="A197" s="500">
        <v>193</v>
      </c>
      <c r="B197" s="103"/>
      <c r="C197" s="104"/>
      <c r="D197" s="108"/>
      <c r="E197" s="190"/>
      <c r="F197" s="117" t="s">
        <v>253</v>
      </c>
      <c r="G197" s="106"/>
      <c r="H197" s="106"/>
      <c r="I197" s="83"/>
      <c r="J197" s="83"/>
      <c r="K197" s="83"/>
      <c r="L197" s="108"/>
      <c r="M197" s="104"/>
    </row>
    <row r="198" spans="1:19">
      <c r="A198" s="500">
        <v>194</v>
      </c>
      <c r="B198" s="103"/>
      <c r="C198" s="104"/>
      <c r="D198" s="108"/>
      <c r="E198" s="190"/>
      <c r="F198" s="117" t="s">
        <v>253</v>
      </c>
      <c r="G198" s="106"/>
      <c r="H198" s="106"/>
      <c r="I198" s="83"/>
      <c r="J198" s="208"/>
      <c r="K198" s="83"/>
      <c r="L198" s="108"/>
      <c r="M198" s="104"/>
      <c r="S198" s="207"/>
    </row>
    <row r="199" spans="1:19">
      <c r="A199" s="500">
        <v>195</v>
      </c>
      <c r="B199" s="103"/>
      <c r="C199" s="104"/>
      <c r="D199" s="108"/>
      <c r="E199" s="190"/>
      <c r="F199" s="117" t="s">
        <v>253</v>
      </c>
      <c r="G199" s="106"/>
      <c r="H199" s="106"/>
      <c r="I199" s="83"/>
      <c r="J199" s="208"/>
      <c r="K199" s="83"/>
      <c r="L199" s="108"/>
      <c r="M199" s="104"/>
    </row>
    <row r="200" spans="1:19">
      <c r="A200" s="500">
        <v>196</v>
      </c>
      <c r="B200" s="103"/>
      <c r="C200" s="104"/>
      <c r="D200" s="108"/>
      <c r="E200" s="190"/>
      <c r="F200" s="117" t="s">
        <v>253</v>
      </c>
      <c r="G200" s="106"/>
      <c r="H200" s="106"/>
      <c r="I200" s="83"/>
      <c r="J200" s="208"/>
      <c r="K200" s="83"/>
      <c r="L200" s="108"/>
      <c r="M200" s="104"/>
    </row>
    <row r="201" spans="1:19">
      <c r="A201" s="500">
        <v>197</v>
      </c>
      <c r="B201" s="103"/>
      <c r="C201" s="104"/>
      <c r="D201" s="108"/>
      <c r="E201" s="190"/>
      <c r="F201" s="117" t="s">
        <v>253</v>
      </c>
      <c r="G201" s="106"/>
      <c r="H201" s="106"/>
      <c r="I201" s="83"/>
      <c r="J201" s="208"/>
      <c r="K201" s="83"/>
      <c r="L201" s="108"/>
      <c r="M201" s="104"/>
    </row>
    <row r="202" spans="1:19">
      <c r="A202" s="500">
        <v>198</v>
      </c>
      <c r="B202" s="103"/>
      <c r="C202" s="104"/>
      <c r="D202" s="108"/>
      <c r="E202" s="190"/>
      <c r="F202" s="117" t="s">
        <v>253</v>
      </c>
      <c r="G202" s="106"/>
      <c r="H202" s="106"/>
      <c r="I202" s="83"/>
      <c r="J202" s="83"/>
      <c r="K202" s="83"/>
      <c r="L202" s="108"/>
      <c r="M202" s="104"/>
    </row>
    <row r="203" spans="1:19">
      <c r="A203" s="500">
        <v>199</v>
      </c>
      <c r="B203" s="103"/>
      <c r="C203" s="104"/>
      <c r="D203" s="108"/>
      <c r="E203" s="190"/>
      <c r="F203" s="117" t="s">
        <v>253</v>
      </c>
      <c r="G203" s="106"/>
      <c r="H203" s="106"/>
      <c r="I203" s="83"/>
      <c r="J203" s="83"/>
      <c r="K203" s="83"/>
      <c r="L203" s="108"/>
      <c r="M203" s="104"/>
    </row>
    <row r="204" spans="1:19">
      <c r="A204" s="500">
        <v>200</v>
      </c>
      <c r="B204" s="103"/>
      <c r="C204" s="104"/>
      <c r="D204" s="108"/>
      <c r="E204" s="190"/>
      <c r="F204" s="117" t="s">
        <v>253</v>
      </c>
      <c r="G204" s="106"/>
      <c r="H204" s="106"/>
      <c r="I204" s="83"/>
      <c r="J204" s="83"/>
      <c r="K204" s="83"/>
      <c r="L204" s="108"/>
      <c r="M204" s="104"/>
    </row>
    <row r="205" spans="1:19">
      <c r="A205" s="500">
        <v>201</v>
      </c>
      <c r="B205" s="103"/>
      <c r="C205" s="104"/>
      <c r="D205" s="108"/>
      <c r="E205" s="190"/>
      <c r="F205" s="117" t="s">
        <v>253</v>
      </c>
      <c r="G205" s="106"/>
      <c r="H205" s="106"/>
      <c r="I205" s="83"/>
      <c r="J205" s="83"/>
      <c r="K205" s="83"/>
      <c r="L205" s="108"/>
      <c r="M205" s="104"/>
    </row>
    <row r="206" spans="1:19">
      <c r="A206" s="500">
        <v>202</v>
      </c>
      <c r="B206" s="103"/>
      <c r="C206" s="104"/>
      <c r="D206" s="108"/>
      <c r="E206" s="214"/>
      <c r="F206" s="117" t="s">
        <v>253</v>
      </c>
      <c r="G206" s="107"/>
      <c r="H206" s="106"/>
      <c r="I206" s="196"/>
      <c r="J206" s="208"/>
      <c r="K206" s="83"/>
      <c r="L206" s="108"/>
      <c r="M206" s="104"/>
      <c r="S206" s="207"/>
    </row>
    <row r="207" spans="1:19">
      <c r="A207" s="500">
        <v>203</v>
      </c>
      <c r="B207" s="103"/>
      <c r="C207" s="192"/>
      <c r="D207" s="192"/>
      <c r="E207" s="193"/>
      <c r="F207" s="117" t="s">
        <v>253</v>
      </c>
      <c r="G207" s="194"/>
      <c r="H207" s="195"/>
      <c r="I207" s="196"/>
      <c r="J207" s="208"/>
      <c r="K207" s="83"/>
      <c r="L207" s="198"/>
      <c r="M207" s="104"/>
    </row>
    <row r="208" spans="1:19">
      <c r="A208" s="500">
        <v>204</v>
      </c>
      <c r="B208" s="103"/>
      <c r="C208" s="192"/>
      <c r="D208" s="192"/>
      <c r="E208" s="193"/>
      <c r="F208" s="117" t="s">
        <v>253</v>
      </c>
      <c r="G208" s="194"/>
      <c r="H208" s="195"/>
      <c r="I208" s="196"/>
      <c r="J208" s="208"/>
      <c r="K208" s="83"/>
      <c r="L208" s="198"/>
      <c r="M208" s="104"/>
    </row>
    <row r="209" spans="1:13">
      <c r="A209" s="500">
        <v>205</v>
      </c>
      <c r="B209" s="103"/>
      <c r="C209" s="192"/>
      <c r="D209" s="192"/>
      <c r="E209" s="193"/>
      <c r="F209" s="117" t="s">
        <v>253</v>
      </c>
      <c r="G209" s="194"/>
      <c r="H209" s="195"/>
      <c r="I209" s="196"/>
      <c r="J209" s="196"/>
      <c r="K209" s="197"/>
      <c r="L209" s="198"/>
      <c r="M209" s="104"/>
    </row>
    <row r="210" spans="1:13">
      <c r="A210" s="500">
        <v>206</v>
      </c>
      <c r="B210" s="103"/>
      <c r="C210" s="192"/>
      <c r="D210" s="192"/>
      <c r="E210" s="193"/>
      <c r="F210" s="117" t="s">
        <v>253</v>
      </c>
      <c r="G210" s="194"/>
      <c r="H210" s="195"/>
      <c r="I210" s="196"/>
      <c r="J210" s="196"/>
      <c r="K210" s="197"/>
      <c r="L210" s="198"/>
      <c r="M210" s="104"/>
    </row>
    <row r="211" spans="1:13">
      <c r="A211" s="500">
        <v>207</v>
      </c>
      <c r="B211" s="103"/>
      <c r="C211" s="192"/>
      <c r="D211" s="192"/>
      <c r="E211" s="193"/>
      <c r="F211" s="106" t="s">
        <v>253</v>
      </c>
      <c r="G211" s="194"/>
      <c r="H211" s="195"/>
      <c r="I211" s="196"/>
      <c r="J211" s="196"/>
      <c r="K211" s="197"/>
      <c r="L211" s="198"/>
      <c r="M211" s="104"/>
    </row>
    <row r="212" spans="1:13">
      <c r="G212" s="130">
        <f>SUM(G56:G211)</f>
        <v>121</v>
      </c>
    </row>
    <row r="213" spans="1:13">
      <c r="G213" s="6"/>
    </row>
  </sheetData>
  <autoFilter ref="A4:M38" xr:uid="{A27FC9AE-048D-4B39-BCE5-F73C87EB6116}">
    <filterColumn colId="1" showButton="0"/>
  </autoFilter>
  <mergeCells count="8">
    <mergeCell ref="N105:N108"/>
    <mergeCell ref="T50:T55"/>
    <mergeCell ref="N50:N55"/>
    <mergeCell ref="A1:M1"/>
    <mergeCell ref="A2:M2"/>
    <mergeCell ref="B4:C4"/>
    <mergeCell ref="R50:R55"/>
    <mergeCell ref="S50:S55"/>
  </mergeCells>
  <pageMargins left="0.25" right="0.25" top="0.75" bottom="0.75" header="0.3" footer="0.3"/>
  <pageSetup paperSize="9" scale="5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597E-61D5-459C-B9C4-E4BBF9D00A80}">
  <sheetPr>
    <pageSetUpPr fitToPage="1"/>
  </sheetPr>
  <dimension ref="A1:AF184"/>
  <sheetViews>
    <sheetView topLeftCell="J108" zoomScaleNormal="100" workbookViewId="0">
      <selection activeCell="U124" sqref="U124"/>
    </sheetView>
  </sheetViews>
  <sheetFormatPr defaultRowHeight="15"/>
  <cols>
    <col min="1" max="1" width="5.5703125" customWidth="1"/>
    <col min="2" max="2" width="9.5703125" customWidth="1"/>
    <col min="4" max="4" width="16.28515625" customWidth="1"/>
    <col min="5" max="5" width="14.42578125" customWidth="1"/>
    <col min="6" max="7" width="11.42578125" customWidth="1"/>
    <col min="8" max="8" width="20.42578125" customWidth="1"/>
    <col min="9" max="9" width="11.42578125" customWidth="1"/>
    <col min="10" max="10" width="18.42578125" customWidth="1"/>
    <col min="11" max="11" width="11.42578125" customWidth="1"/>
    <col min="12" max="12" width="9.5703125" bestFit="1" customWidth="1"/>
    <col min="13" max="13" width="14.42578125" customWidth="1"/>
    <col min="14" max="14" width="9.28515625" bestFit="1" customWidth="1"/>
    <col min="16" max="16" width="9.42578125" bestFit="1" customWidth="1"/>
    <col min="17" max="17" width="10.5703125" customWidth="1"/>
    <col min="21" max="21" width="12.42578125" customWidth="1"/>
    <col min="22" max="22" width="10.140625" customWidth="1"/>
    <col min="23" max="23" width="12.140625" customWidth="1"/>
    <col min="26" max="26" width="11.140625" customWidth="1"/>
    <col min="27" max="27" width="11.42578125" customWidth="1"/>
    <col min="28" max="28" width="11.28515625" customWidth="1"/>
    <col min="30" max="30" width="9.140625" customWidth="1"/>
    <col min="31" max="31" width="13" customWidth="1"/>
  </cols>
  <sheetData>
    <row r="1" spans="1:32" ht="18.75">
      <c r="A1" s="603" t="s">
        <v>477</v>
      </c>
      <c r="B1" s="603"/>
      <c r="C1" s="603"/>
      <c r="D1" s="603"/>
      <c r="E1" s="603"/>
      <c r="F1" s="603"/>
      <c r="G1" s="603"/>
      <c r="H1" s="603"/>
      <c r="I1" s="603"/>
      <c r="J1" s="603"/>
    </row>
    <row r="2" spans="1:32" ht="15.75">
      <c r="A2" s="604" t="s">
        <v>230</v>
      </c>
      <c r="B2" s="604"/>
      <c r="C2" s="604"/>
      <c r="D2" s="604"/>
      <c r="E2" s="604"/>
      <c r="F2" s="604"/>
      <c r="G2" s="604"/>
      <c r="H2" s="604"/>
      <c r="I2" s="604"/>
      <c r="J2" s="604"/>
      <c r="O2">
        <v>804</v>
      </c>
    </row>
    <row r="3" spans="1:32" ht="45.75" thickBot="1">
      <c r="A3" s="16" t="s">
        <v>234</v>
      </c>
      <c r="B3" s="605" t="s">
        <v>478</v>
      </c>
      <c r="C3" s="605"/>
      <c r="D3" s="5" t="s">
        <v>479</v>
      </c>
      <c r="E3" s="5" t="s">
        <v>238</v>
      </c>
      <c r="F3" s="17" t="s">
        <v>480</v>
      </c>
      <c r="G3" s="17" t="s">
        <v>481</v>
      </c>
      <c r="H3" s="17" t="s">
        <v>482</v>
      </c>
      <c r="I3" s="17" t="s">
        <v>483</v>
      </c>
      <c r="J3" s="17" t="s">
        <v>484</v>
      </c>
      <c r="K3" s="23"/>
    </row>
    <row r="4" spans="1:32" s="31" customFormat="1" ht="75">
      <c r="A4" s="21">
        <v>1</v>
      </c>
      <c r="B4" s="599" t="s">
        <v>485</v>
      </c>
      <c r="C4" s="600"/>
      <c r="D4" s="245">
        <v>309.01</v>
      </c>
      <c r="E4" s="21" t="s">
        <v>486</v>
      </c>
      <c r="F4" s="21">
        <v>16</v>
      </c>
      <c r="G4" s="21">
        <v>10</v>
      </c>
      <c r="H4" s="30" t="s">
        <v>487</v>
      </c>
      <c r="I4" s="21">
        <v>6</v>
      </c>
      <c r="J4" s="30" t="s">
        <v>488</v>
      </c>
      <c r="K4" s="22"/>
      <c r="L4"/>
      <c r="M4" s="26" t="s">
        <v>489</v>
      </c>
      <c r="N4" s="27"/>
      <c r="O4" s="27"/>
      <c r="P4" s="27"/>
      <c r="Q4" s="28"/>
      <c r="R4"/>
      <c r="S4"/>
      <c r="T4" s="110"/>
      <c r="U4" s="111"/>
      <c r="V4" s="111"/>
      <c r="W4"/>
      <c r="X4"/>
      <c r="Y4"/>
      <c r="Z4"/>
      <c r="AA4"/>
      <c r="AB4"/>
      <c r="AC4"/>
    </row>
    <row r="5" spans="1:32" ht="76.5" customHeight="1">
      <c r="A5" s="21">
        <v>2</v>
      </c>
      <c r="B5" s="599" t="s">
        <v>490</v>
      </c>
      <c r="C5" s="600"/>
      <c r="D5" s="245">
        <v>412.62</v>
      </c>
      <c r="E5" s="21" t="s">
        <v>486</v>
      </c>
      <c r="F5" s="21">
        <v>21</v>
      </c>
      <c r="G5" s="21">
        <v>18</v>
      </c>
      <c r="H5" s="30" t="s">
        <v>491</v>
      </c>
      <c r="I5" s="21">
        <v>3</v>
      </c>
      <c r="J5" s="30" t="s">
        <v>492</v>
      </c>
      <c r="K5" s="6"/>
      <c r="L5" s="31"/>
      <c r="M5" s="32" t="s">
        <v>493</v>
      </c>
      <c r="N5" s="31">
        <v>850</v>
      </c>
      <c r="O5" s="31" t="s">
        <v>494</v>
      </c>
      <c r="P5" s="31"/>
      <c r="Q5" s="33"/>
      <c r="R5" s="31"/>
      <c r="AA5" s="112"/>
    </row>
    <row r="6" spans="1:32" ht="75">
      <c r="A6" s="21">
        <v>3</v>
      </c>
      <c r="B6" s="599" t="s">
        <v>495</v>
      </c>
      <c r="C6" s="600"/>
      <c r="D6" s="245">
        <v>273.67</v>
      </c>
      <c r="E6" s="21" t="s">
        <v>486</v>
      </c>
      <c r="F6" s="21">
        <v>13</v>
      </c>
      <c r="G6" s="21">
        <v>13</v>
      </c>
      <c r="H6" s="30" t="s">
        <v>496</v>
      </c>
      <c r="I6" s="21">
        <v>0</v>
      </c>
      <c r="J6" s="30" t="s">
        <v>57</v>
      </c>
      <c r="K6" s="6"/>
      <c r="L6" s="34"/>
      <c r="M6" s="32" t="s">
        <v>497</v>
      </c>
      <c r="N6" s="31">
        <v>659</v>
      </c>
      <c r="O6" s="31" t="s">
        <v>494</v>
      </c>
      <c r="Q6" s="36"/>
      <c r="AA6" s="112"/>
    </row>
    <row r="7" spans="1:32" ht="93.75" customHeight="1">
      <c r="A7" s="21">
        <v>4</v>
      </c>
      <c r="B7" s="599" t="s">
        <v>498</v>
      </c>
      <c r="C7" s="600"/>
      <c r="D7" s="245">
        <v>276.55</v>
      </c>
      <c r="E7" s="21" t="s">
        <v>486</v>
      </c>
      <c r="F7" s="21">
        <v>14</v>
      </c>
      <c r="G7" s="21">
        <v>14</v>
      </c>
      <c r="H7" s="30" t="s">
        <v>499</v>
      </c>
      <c r="I7" s="21">
        <v>0</v>
      </c>
      <c r="J7" s="30" t="s">
        <v>57</v>
      </c>
      <c r="K7" s="6"/>
      <c r="M7" s="32" t="s">
        <v>500</v>
      </c>
      <c r="N7" s="95">
        <f>N5-N6</f>
        <v>191</v>
      </c>
      <c r="Q7" s="36"/>
      <c r="T7" s="113"/>
      <c r="U7" s="113"/>
      <c r="V7" s="113"/>
      <c r="AA7" s="112"/>
    </row>
    <row r="8" spans="1:32" ht="96.75" customHeight="1">
      <c r="A8" s="21">
        <v>5</v>
      </c>
      <c r="B8" s="599" t="s">
        <v>501</v>
      </c>
      <c r="C8" s="600"/>
      <c r="D8" s="245">
        <v>264.26</v>
      </c>
      <c r="E8" s="21" t="s">
        <v>486</v>
      </c>
      <c r="F8" s="21">
        <v>14</v>
      </c>
      <c r="G8" s="21">
        <v>14</v>
      </c>
      <c r="H8" s="30" t="s">
        <v>502</v>
      </c>
      <c r="I8" s="21">
        <v>0</v>
      </c>
      <c r="J8" s="30" t="s">
        <v>57</v>
      </c>
      <c r="K8" s="22"/>
      <c r="M8" s="35" t="s">
        <v>503</v>
      </c>
      <c r="N8">
        <v>22.4</v>
      </c>
      <c r="O8" s="63" t="s">
        <v>504</v>
      </c>
      <c r="Q8" s="36"/>
    </row>
    <row r="9" spans="1:32" ht="79.5" customHeight="1">
      <c r="A9" s="21">
        <v>6</v>
      </c>
      <c r="B9" s="599" t="s">
        <v>505</v>
      </c>
      <c r="C9" s="600"/>
      <c r="D9" s="245">
        <v>253.46</v>
      </c>
      <c r="E9" s="21" t="s">
        <v>486</v>
      </c>
      <c r="F9" s="21">
        <v>13</v>
      </c>
      <c r="G9" s="21">
        <v>13</v>
      </c>
      <c r="H9" s="30" t="s">
        <v>506</v>
      </c>
      <c r="I9" s="21">
        <v>0</v>
      </c>
      <c r="J9" s="30" t="s">
        <v>57</v>
      </c>
      <c r="K9" s="6"/>
      <c r="M9" s="35" t="s">
        <v>507</v>
      </c>
      <c r="N9">
        <v>16</v>
      </c>
      <c r="O9">
        <v>80</v>
      </c>
      <c r="P9" t="s">
        <v>508</v>
      </c>
      <c r="Q9" s="36"/>
    </row>
    <row r="10" spans="1:32" ht="60">
      <c r="A10" s="21">
        <v>7</v>
      </c>
      <c r="B10" s="599" t="s">
        <v>509</v>
      </c>
      <c r="C10" s="600"/>
      <c r="D10" s="245">
        <v>189.09</v>
      </c>
      <c r="E10" s="21" t="s">
        <v>486</v>
      </c>
      <c r="F10" s="21">
        <v>9</v>
      </c>
      <c r="G10" s="21">
        <v>9</v>
      </c>
      <c r="H10" s="30" t="s">
        <v>510</v>
      </c>
      <c r="I10" s="21">
        <v>0</v>
      </c>
      <c r="J10" s="30" t="s">
        <v>57</v>
      </c>
      <c r="K10" s="6"/>
      <c r="M10" s="35" t="s">
        <v>511</v>
      </c>
      <c r="N10">
        <v>36</v>
      </c>
      <c r="O10">
        <v>40</v>
      </c>
      <c r="P10" t="s">
        <v>512</v>
      </c>
      <c r="Q10" s="36"/>
    </row>
    <row r="11" spans="1:32">
      <c r="A11" s="21">
        <v>8</v>
      </c>
      <c r="B11" s="599" t="s">
        <v>513</v>
      </c>
      <c r="C11" s="600"/>
      <c r="D11" s="245"/>
      <c r="E11" s="21" t="s">
        <v>486</v>
      </c>
      <c r="F11" s="21"/>
      <c r="G11" s="21"/>
      <c r="H11" s="30"/>
      <c r="I11" s="21"/>
      <c r="J11" s="30"/>
      <c r="K11" s="6"/>
      <c r="M11" s="39" t="s">
        <v>514</v>
      </c>
      <c r="N11" s="40">
        <f>N7+N8+N9+N10</f>
        <v>265.39999999999998</v>
      </c>
      <c r="O11" s="41"/>
      <c r="P11" s="41"/>
      <c r="Q11" s="42"/>
      <c r="R11" s="43"/>
    </row>
    <row r="12" spans="1:32">
      <c r="A12" s="21">
        <v>9</v>
      </c>
      <c r="B12" s="599" t="s">
        <v>515</v>
      </c>
      <c r="C12" s="600"/>
      <c r="D12" s="245"/>
      <c r="E12" s="21" t="s">
        <v>486</v>
      </c>
      <c r="F12" s="21"/>
      <c r="G12" s="21"/>
      <c r="H12" s="30"/>
      <c r="I12" s="21"/>
      <c r="J12" s="30"/>
      <c r="K12" s="6"/>
      <c r="M12" s="32" t="s">
        <v>516</v>
      </c>
      <c r="N12" s="31">
        <v>320</v>
      </c>
    </row>
    <row r="13" spans="1:32">
      <c r="A13" s="21">
        <v>10</v>
      </c>
      <c r="B13" s="599" t="s">
        <v>517</v>
      </c>
      <c r="C13" s="600"/>
      <c r="D13" s="245"/>
      <c r="E13" s="21" t="s">
        <v>486</v>
      </c>
      <c r="F13" s="21"/>
      <c r="G13" s="21"/>
      <c r="H13" s="30"/>
      <c r="I13" s="21"/>
      <c r="J13" s="30"/>
      <c r="K13" s="6"/>
      <c r="M13" s="44" t="s">
        <v>518</v>
      </c>
      <c r="N13" s="45"/>
      <c r="O13" s="46">
        <f>N12-N11</f>
        <v>54.600000000000023</v>
      </c>
      <c r="P13" s="47" t="s">
        <v>486</v>
      </c>
    </row>
    <row r="14" spans="1:32">
      <c r="A14" s="21">
        <v>11</v>
      </c>
      <c r="B14" s="599" t="s">
        <v>519</v>
      </c>
      <c r="C14" s="600"/>
      <c r="D14" s="245"/>
      <c r="E14" s="21" t="s">
        <v>486</v>
      </c>
      <c r="F14" s="21"/>
      <c r="G14" s="21"/>
      <c r="H14" s="30"/>
      <c r="I14" s="21"/>
      <c r="J14" s="30"/>
      <c r="K14" s="22"/>
      <c r="T14" s="110"/>
      <c r="U14" s="111"/>
      <c r="V14" s="111"/>
    </row>
    <row r="15" spans="1:32">
      <c r="A15" s="21">
        <v>12</v>
      </c>
      <c r="B15" s="599" t="s">
        <v>520</v>
      </c>
      <c r="C15" s="600"/>
      <c r="D15" s="245"/>
      <c r="E15" s="21" t="s">
        <v>486</v>
      </c>
      <c r="F15" s="21"/>
      <c r="G15" s="21"/>
      <c r="H15" s="30"/>
      <c r="I15" s="21"/>
      <c r="J15" s="30"/>
      <c r="K15" s="6"/>
      <c r="M15" s="26" t="s">
        <v>489</v>
      </c>
      <c r="N15" s="27"/>
      <c r="O15" s="27"/>
      <c r="P15" s="27"/>
      <c r="Q15" s="27"/>
      <c r="R15" s="35"/>
      <c r="AA15" s="112"/>
    </row>
    <row r="16" spans="1:32" ht="18" customHeight="1">
      <c r="A16" s="48"/>
      <c r="D16" s="49">
        <f>SUM(D4:D15)</f>
        <v>1978.6599999999999</v>
      </c>
      <c r="F16" s="49">
        <f>SUM(F4:F15)</f>
        <v>100</v>
      </c>
      <c r="K16" s="50"/>
      <c r="M16" s="32" t="s">
        <v>493</v>
      </c>
      <c r="N16" s="31">
        <v>850</v>
      </c>
      <c r="O16" s="31" t="s">
        <v>494</v>
      </c>
      <c r="P16" s="31"/>
      <c r="Q16" s="31"/>
      <c r="R16" s="35"/>
      <c r="T16" s="19"/>
      <c r="U16" s="24" t="s">
        <v>521</v>
      </c>
      <c r="V16" s="25" t="s">
        <v>522</v>
      </c>
      <c r="W16" s="25" t="s">
        <v>523</v>
      </c>
      <c r="AA16" s="115" t="s">
        <v>524</v>
      </c>
      <c r="AB16" s="116">
        <v>46025</v>
      </c>
      <c r="AC16" s="115" t="s">
        <v>525</v>
      </c>
      <c r="AD16" s="115">
        <v>18</v>
      </c>
      <c r="AE16" s="115" t="s">
        <v>526</v>
      </c>
      <c r="AF16" s="115" t="s">
        <v>527</v>
      </c>
    </row>
    <row r="17" spans="1:32" ht="18" customHeight="1">
      <c r="M17" s="32" t="s">
        <v>528</v>
      </c>
      <c r="N17" s="31">
        <v>598.5</v>
      </c>
      <c r="O17" s="31" t="s">
        <v>494</v>
      </c>
      <c r="R17" s="35"/>
      <c r="T17" s="19" t="s">
        <v>529</v>
      </c>
      <c r="U17" s="19">
        <f>28+20+40+20+40+40</f>
        <v>188</v>
      </c>
      <c r="V17" s="19">
        <f>18+22+18+22+18</f>
        <v>98</v>
      </c>
      <c r="W17" s="247">
        <f>U17-V17</f>
        <v>90</v>
      </c>
      <c r="AA17" s="115" t="s">
        <v>530</v>
      </c>
      <c r="AB17" s="116">
        <v>46025</v>
      </c>
      <c r="AC17" s="115" t="s">
        <v>531</v>
      </c>
      <c r="AD17" s="115">
        <v>16</v>
      </c>
      <c r="AE17" s="115" t="s">
        <v>532</v>
      </c>
      <c r="AF17" s="115" t="s">
        <v>527</v>
      </c>
    </row>
    <row r="18" spans="1:32">
      <c r="M18" s="35" t="s">
        <v>500</v>
      </c>
      <c r="N18" s="38">
        <f>N16-N17</f>
        <v>251.5</v>
      </c>
      <c r="R18" s="35"/>
      <c r="T18" s="19" t="s">
        <v>533</v>
      </c>
      <c r="U18" s="19">
        <f>274+80+80+80+80+160</f>
        <v>754</v>
      </c>
      <c r="V18" s="19">
        <f>160+160</f>
        <v>320</v>
      </c>
      <c r="W18" s="247">
        <f>U18-V18</f>
        <v>434</v>
      </c>
      <c r="AA18" s="115" t="s">
        <v>534</v>
      </c>
      <c r="AB18" s="116">
        <v>46030</v>
      </c>
      <c r="AC18" s="115" t="s">
        <v>535</v>
      </c>
      <c r="AD18" s="115">
        <v>36</v>
      </c>
      <c r="AE18" s="115" t="s">
        <v>536</v>
      </c>
      <c r="AF18" s="115" t="s">
        <v>537</v>
      </c>
    </row>
    <row r="19" spans="1:32">
      <c r="M19" s="35" t="s">
        <v>503</v>
      </c>
      <c r="N19">
        <v>89.8</v>
      </c>
      <c r="O19" t="s">
        <v>538</v>
      </c>
      <c r="R19" s="35"/>
      <c r="T19" s="19" t="s">
        <v>539</v>
      </c>
      <c r="U19" s="37">
        <f>478.48+86.19+86.84+84.99+85.4+65.28+85.55</f>
        <v>972.73</v>
      </c>
      <c r="V19" s="19">
        <f>34+22.5+52+22.4+22.2+22.37+34+52+22.4+22.36+68+22.58</f>
        <v>396.81</v>
      </c>
      <c r="W19" s="246">
        <f>U19-V19</f>
        <v>575.92000000000007</v>
      </c>
      <c r="AA19" s="115" t="s">
        <v>530</v>
      </c>
      <c r="AB19" s="116">
        <v>46030</v>
      </c>
      <c r="AC19" s="115" t="s">
        <v>531</v>
      </c>
      <c r="AD19" s="115">
        <v>16</v>
      </c>
      <c r="AE19" s="115" t="s">
        <v>540</v>
      </c>
      <c r="AF19" s="115" t="s">
        <v>537</v>
      </c>
    </row>
    <row r="20" spans="1:32">
      <c r="M20" s="35" t="s">
        <v>507</v>
      </c>
      <c r="N20">
        <v>32</v>
      </c>
      <c r="O20">
        <v>160</v>
      </c>
      <c r="P20" t="s">
        <v>541</v>
      </c>
      <c r="R20" s="35"/>
      <c r="AA20" s="115" t="s">
        <v>524</v>
      </c>
      <c r="AB20" s="116">
        <v>46037</v>
      </c>
      <c r="AC20" s="115" t="s">
        <v>525</v>
      </c>
      <c r="AD20" s="115">
        <v>18</v>
      </c>
      <c r="AE20" s="115" t="s">
        <v>542</v>
      </c>
      <c r="AF20" s="115" t="s">
        <v>543</v>
      </c>
    </row>
    <row r="21" spans="1:32" ht="18.75">
      <c r="A21" s="603" t="s">
        <v>544</v>
      </c>
      <c r="B21" s="603"/>
      <c r="C21" s="603"/>
      <c r="D21" s="603"/>
      <c r="E21" s="603"/>
      <c r="M21" s="35" t="s">
        <v>511</v>
      </c>
      <c r="N21">
        <v>108</v>
      </c>
      <c r="O21">
        <v>120</v>
      </c>
      <c r="P21" t="s">
        <v>545</v>
      </c>
      <c r="R21" s="35"/>
      <c r="AA21" s="115" t="s">
        <v>530</v>
      </c>
      <c r="AB21" s="116">
        <v>46037</v>
      </c>
      <c r="AC21" s="115" t="s">
        <v>531</v>
      </c>
      <c r="AD21" s="115">
        <v>16</v>
      </c>
      <c r="AE21" s="115" t="s">
        <v>546</v>
      </c>
      <c r="AF21" s="115" t="s">
        <v>543</v>
      </c>
    </row>
    <row r="22" spans="1:32" ht="16.5" thickBot="1">
      <c r="A22" s="604" t="s">
        <v>230</v>
      </c>
      <c r="B22" s="604"/>
      <c r="C22" s="604"/>
      <c r="D22" s="604"/>
      <c r="E22" s="604"/>
      <c r="M22" s="39" t="s">
        <v>514</v>
      </c>
      <c r="N22" s="40">
        <f>N18+N19+N20+N21</f>
        <v>481.3</v>
      </c>
      <c r="O22" s="41"/>
      <c r="P22" s="41"/>
      <c r="Q22" s="41"/>
      <c r="R22" s="35"/>
      <c r="AA22" s="115" t="s">
        <v>534</v>
      </c>
      <c r="AB22" s="116">
        <v>46044</v>
      </c>
      <c r="AC22" s="115" t="s">
        <v>535</v>
      </c>
      <c r="AD22" s="115">
        <v>36</v>
      </c>
      <c r="AE22" s="115" t="s">
        <v>547</v>
      </c>
      <c r="AF22" s="115" t="s">
        <v>548</v>
      </c>
    </row>
    <row r="23" spans="1:32" ht="30.75" thickBot="1">
      <c r="A23" s="16" t="s">
        <v>234</v>
      </c>
      <c r="B23" s="605" t="s">
        <v>478</v>
      </c>
      <c r="C23" s="605"/>
      <c r="D23" s="5" t="s">
        <v>549</v>
      </c>
      <c r="E23" s="17" t="s">
        <v>550</v>
      </c>
      <c r="M23" s="35" t="s">
        <v>551</v>
      </c>
      <c r="N23">
        <v>388</v>
      </c>
      <c r="AA23" s="76" t="s">
        <v>530</v>
      </c>
      <c r="AB23" s="235">
        <v>46044</v>
      </c>
      <c r="AC23" s="236" t="s">
        <v>531</v>
      </c>
      <c r="AD23" s="72">
        <v>16</v>
      </c>
      <c r="AE23" s="72" t="s">
        <v>552</v>
      </c>
      <c r="AF23" s="72" t="s">
        <v>548</v>
      </c>
    </row>
    <row r="24" spans="1:32">
      <c r="A24" s="20">
        <v>1</v>
      </c>
      <c r="B24" s="599" t="s">
        <v>553</v>
      </c>
      <c r="C24" s="600"/>
      <c r="D24" s="29"/>
      <c r="E24" s="29"/>
      <c r="M24" s="44" t="s">
        <v>518</v>
      </c>
      <c r="N24" s="45"/>
      <c r="O24" s="46">
        <f>N23-N22</f>
        <v>-93.300000000000011</v>
      </c>
      <c r="P24" s="47" t="s">
        <v>486</v>
      </c>
      <c r="AA24" s="240" t="s">
        <v>534</v>
      </c>
      <c r="AB24" s="241">
        <v>46051</v>
      </c>
      <c r="AC24" s="240" t="s">
        <v>535</v>
      </c>
      <c r="AD24" s="240">
        <v>36</v>
      </c>
      <c r="AE24" s="240" t="s">
        <v>554</v>
      </c>
      <c r="AF24" s="115" t="s">
        <v>555</v>
      </c>
    </row>
    <row r="25" spans="1:32">
      <c r="A25" s="20">
        <v>2</v>
      </c>
      <c r="B25" s="601" t="s">
        <v>556</v>
      </c>
      <c r="C25" s="602"/>
      <c r="D25" s="51"/>
      <c r="E25" s="51"/>
      <c r="AA25" s="115" t="s">
        <v>557</v>
      </c>
      <c r="AB25" s="241">
        <v>46051</v>
      </c>
      <c r="AC25" s="115" t="s">
        <v>558</v>
      </c>
      <c r="AD25" s="115">
        <v>32</v>
      </c>
      <c r="AE25" s="115" t="s">
        <v>559</v>
      </c>
      <c r="AF25" s="115" t="s">
        <v>555</v>
      </c>
    </row>
    <row r="26" spans="1:32" ht="15.75">
      <c r="A26" s="20">
        <v>3</v>
      </c>
      <c r="B26" s="601" t="s">
        <v>560</v>
      </c>
      <c r="C26" s="602"/>
      <c r="D26" s="51"/>
      <c r="E26" s="51"/>
      <c r="K26" s="598"/>
      <c r="L26" s="598"/>
      <c r="M26" s="598"/>
    </row>
    <row r="27" spans="1:32">
      <c r="A27" s="20">
        <v>4</v>
      </c>
      <c r="B27" s="601" t="s">
        <v>561</v>
      </c>
      <c r="C27" s="602"/>
      <c r="D27" s="51"/>
      <c r="E27" s="51"/>
      <c r="K27" s="52"/>
      <c r="L27" s="53"/>
      <c r="M27" s="54"/>
    </row>
    <row r="28" spans="1:32">
      <c r="A28" s="21">
        <v>5</v>
      </c>
      <c r="B28" s="599" t="s">
        <v>562</v>
      </c>
      <c r="C28" s="600"/>
      <c r="D28" s="29"/>
      <c r="E28" s="29"/>
      <c r="K28" s="53"/>
      <c r="L28" s="52"/>
      <c r="M28" s="53"/>
      <c r="U28" s="110"/>
      <c r="V28" s="111"/>
      <c r="W28" s="111"/>
    </row>
    <row r="29" spans="1:32">
      <c r="A29" s="21">
        <v>6</v>
      </c>
      <c r="B29" s="599" t="s">
        <v>563</v>
      </c>
      <c r="C29" s="600"/>
      <c r="D29" s="29"/>
      <c r="E29" s="29"/>
      <c r="K29" s="53"/>
      <c r="L29" s="52"/>
      <c r="M29" s="53"/>
    </row>
    <row r="30" spans="1:32">
      <c r="A30" s="21">
        <v>7</v>
      </c>
      <c r="B30" s="599" t="s">
        <v>564</v>
      </c>
      <c r="C30" s="600"/>
      <c r="D30" s="29"/>
      <c r="E30" s="29"/>
      <c r="K30" s="53"/>
      <c r="L30" s="52"/>
      <c r="M30" s="53"/>
    </row>
    <row r="31" spans="1:32">
      <c r="A31" s="21">
        <v>8</v>
      </c>
      <c r="B31" s="599" t="s">
        <v>565</v>
      </c>
      <c r="C31" s="600"/>
      <c r="D31" s="29"/>
      <c r="E31" s="55"/>
      <c r="K31" s="53"/>
      <c r="L31" s="52"/>
      <c r="M31" s="53"/>
      <c r="U31" s="113"/>
      <c r="V31" s="113"/>
      <c r="W31" s="113"/>
    </row>
    <row r="32" spans="1:32" ht="30">
      <c r="A32" s="21">
        <v>9</v>
      </c>
      <c r="B32" s="599" t="s">
        <v>566</v>
      </c>
      <c r="C32" s="600"/>
      <c r="D32" s="29"/>
      <c r="E32" s="55"/>
      <c r="K32" s="53"/>
      <c r="L32" s="52"/>
      <c r="M32" s="53"/>
      <c r="P32" s="6"/>
      <c r="T32" s="19"/>
      <c r="U32" s="24" t="s">
        <v>567</v>
      </c>
      <c r="V32" s="25" t="s">
        <v>522</v>
      </c>
      <c r="W32" s="25" t="s">
        <v>523</v>
      </c>
      <c r="AA32" s="115" t="s">
        <v>534</v>
      </c>
      <c r="AB32" s="116">
        <v>46058</v>
      </c>
      <c r="AC32" s="115" t="s">
        <v>535</v>
      </c>
      <c r="AD32" s="115">
        <v>36</v>
      </c>
      <c r="AE32" s="115" t="s">
        <v>568</v>
      </c>
      <c r="AF32" s="115" t="s">
        <v>569</v>
      </c>
    </row>
    <row r="33" spans="1:32">
      <c r="A33" s="21">
        <v>10</v>
      </c>
      <c r="B33" s="599" t="s">
        <v>570</v>
      </c>
      <c r="C33" s="600"/>
      <c r="D33" s="29"/>
      <c r="E33" s="55"/>
      <c r="K33" s="53"/>
      <c r="L33" s="52"/>
      <c r="M33" s="53"/>
      <c r="P33" s="56"/>
      <c r="T33" s="19" t="s">
        <v>529</v>
      </c>
      <c r="U33" s="19">
        <f>W17+40+40+40+40</f>
        <v>250</v>
      </c>
      <c r="V33" s="19">
        <f>18+18+22+18+22+18+22+18</f>
        <v>156</v>
      </c>
      <c r="W33" s="19">
        <f>U33-V33</f>
        <v>94</v>
      </c>
      <c r="AA33" s="255" t="s">
        <v>530</v>
      </c>
      <c r="AB33" s="116">
        <v>46058</v>
      </c>
      <c r="AC33" s="256" t="s">
        <v>531</v>
      </c>
      <c r="AD33" s="115">
        <v>16</v>
      </c>
      <c r="AE33" s="115" t="s">
        <v>571</v>
      </c>
      <c r="AF33" s="115" t="s">
        <v>569</v>
      </c>
    </row>
    <row r="34" spans="1:32">
      <c r="A34" s="21">
        <v>11</v>
      </c>
      <c r="B34" s="599" t="s">
        <v>572</v>
      </c>
      <c r="C34" s="600"/>
      <c r="D34" s="29"/>
      <c r="E34" s="55"/>
      <c r="K34" s="53"/>
      <c r="L34" s="52"/>
      <c r="M34" s="53"/>
      <c r="P34" s="6"/>
      <c r="T34" s="19" t="s">
        <v>533</v>
      </c>
      <c r="U34" s="19">
        <f>W18+80+80+80</f>
        <v>674</v>
      </c>
      <c r="V34" s="19">
        <f>80+160</f>
        <v>240</v>
      </c>
      <c r="W34" s="19">
        <f>U34-V34</f>
        <v>434</v>
      </c>
      <c r="AA34" s="115" t="s">
        <v>534</v>
      </c>
      <c r="AB34" s="116">
        <v>46065</v>
      </c>
      <c r="AC34" s="115" t="s">
        <v>535</v>
      </c>
      <c r="AD34" s="115">
        <v>36</v>
      </c>
      <c r="AE34" s="115" t="s">
        <v>573</v>
      </c>
      <c r="AF34" s="115" t="s">
        <v>574</v>
      </c>
    </row>
    <row r="35" spans="1:32">
      <c r="A35" s="21">
        <v>12</v>
      </c>
      <c r="B35" s="599" t="s">
        <v>575</v>
      </c>
      <c r="C35" s="600"/>
      <c r="D35" s="29"/>
      <c r="E35" s="55"/>
      <c r="K35" s="53"/>
      <c r="L35" s="52"/>
      <c r="M35" s="53"/>
      <c r="P35" s="6"/>
      <c r="T35" s="19" t="s">
        <v>539</v>
      </c>
      <c r="U35" s="37">
        <f>W19+65.16+64.83+84.39</f>
        <v>790.30000000000007</v>
      </c>
      <c r="V35" s="19">
        <f>22.48+22.49+52+22.45+22.42+22.52+52+22.38+22.4+36+22.36+22.34+22.38+52</f>
        <v>416.21999999999997</v>
      </c>
      <c r="W35" s="37">
        <f>U35-V35</f>
        <v>374.0800000000001</v>
      </c>
      <c r="X35" s="12">
        <v>373.51</v>
      </c>
      <c r="AA35" s="255" t="s">
        <v>530</v>
      </c>
      <c r="AB35" s="116">
        <v>46065</v>
      </c>
      <c r="AC35" s="256" t="s">
        <v>531</v>
      </c>
      <c r="AD35" s="115">
        <v>16</v>
      </c>
      <c r="AE35" s="115" t="s">
        <v>576</v>
      </c>
      <c r="AF35" s="115" t="s">
        <v>574</v>
      </c>
    </row>
    <row r="36" spans="1:32">
      <c r="A36" s="57"/>
      <c r="B36" s="58"/>
      <c r="C36" s="58"/>
      <c r="D36" s="49">
        <f>SUM(D24:D35)</f>
        <v>0</v>
      </c>
      <c r="E36" s="59">
        <f>SUM(E24:E35)</f>
        <v>0</v>
      </c>
      <c r="K36" s="53"/>
      <c r="L36" s="52"/>
      <c r="M36" s="53"/>
      <c r="AA36" s="240" t="s">
        <v>534</v>
      </c>
      <c r="AB36" s="241">
        <v>46072</v>
      </c>
      <c r="AC36" s="240" t="s">
        <v>535</v>
      </c>
      <c r="AD36" s="240">
        <v>36</v>
      </c>
      <c r="AE36" s="240" t="s">
        <v>577</v>
      </c>
      <c r="AF36" s="115" t="s">
        <v>578</v>
      </c>
    </row>
    <row r="37" spans="1:32">
      <c r="K37" s="53"/>
      <c r="L37" s="52"/>
      <c r="M37" s="53"/>
      <c r="O37" s="6"/>
      <c r="AA37" s="115" t="s">
        <v>534</v>
      </c>
      <c r="AB37" s="116">
        <v>46079</v>
      </c>
      <c r="AC37" s="115" t="s">
        <v>535</v>
      </c>
      <c r="AD37" s="115">
        <v>36</v>
      </c>
      <c r="AE37" s="115" t="s">
        <v>579</v>
      </c>
      <c r="AF37" s="115" t="s">
        <v>580</v>
      </c>
    </row>
    <row r="38" spans="1:32">
      <c r="K38" s="53"/>
      <c r="L38" s="52"/>
      <c r="M38" s="53"/>
      <c r="O38" s="6"/>
      <c r="AA38" s="255" t="s">
        <v>530</v>
      </c>
      <c r="AB38" s="116">
        <v>46079</v>
      </c>
      <c r="AC38" s="256" t="s">
        <v>531</v>
      </c>
      <c r="AD38" s="115">
        <v>16</v>
      </c>
      <c r="AE38" s="115" t="s">
        <v>581</v>
      </c>
      <c r="AF38" s="115" t="s">
        <v>580</v>
      </c>
    </row>
    <row r="39" spans="1:32">
      <c r="K39" s="53"/>
      <c r="L39" s="52"/>
      <c r="M39" s="53"/>
      <c r="U39" s="110"/>
      <c r="V39" s="111"/>
      <c r="W39" s="111"/>
      <c r="AA39" s="6"/>
      <c r="AB39" s="219"/>
      <c r="AC39" s="6"/>
      <c r="AD39" s="6"/>
      <c r="AE39" s="6"/>
      <c r="AF39" s="6"/>
    </row>
    <row r="40" spans="1:32">
      <c r="L40" s="52"/>
      <c r="AA40" s="6"/>
      <c r="AB40" s="219"/>
      <c r="AC40" s="6"/>
      <c r="AD40" s="6"/>
      <c r="AE40" s="6"/>
      <c r="AF40" s="6"/>
    </row>
    <row r="41" spans="1:32">
      <c r="AA41" s="6"/>
      <c r="AB41" s="219"/>
      <c r="AC41" s="6"/>
      <c r="AD41" s="6"/>
      <c r="AE41" s="6"/>
      <c r="AF41" s="6"/>
    </row>
    <row r="42" spans="1:32">
      <c r="U42" s="113"/>
      <c r="V42" s="113"/>
      <c r="W42" s="113"/>
      <c r="AA42" s="6"/>
      <c r="AB42" s="219"/>
      <c r="AC42" s="6"/>
      <c r="AD42" s="6"/>
      <c r="AE42" s="6"/>
      <c r="AF42" s="6"/>
    </row>
    <row r="43" spans="1:32">
      <c r="AB43" s="219"/>
      <c r="AC43" s="6"/>
      <c r="AD43" s="6"/>
      <c r="AE43" s="6"/>
      <c r="AF43" s="6"/>
    </row>
    <row r="44" spans="1:32">
      <c r="AA44" s="6"/>
      <c r="AB44" s="219"/>
      <c r="AC44" s="6"/>
      <c r="AD44" s="6"/>
      <c r="AE44" s="6"/>
      <c r="AF44" s="6"/>
    </row>
    <row r="45" spans="1:32">
      <c r="T45" s="110"/>
      <c r="U45" s="111"/>
      <c r="V45" s="111"/>
      <c r="AA45" s="112"/>
      <c r="AE45" s="6"/>
    </row>
    <row r="46" spans="1:32" ht="30">
      <c r="F46" s="60"/>
      <c r="T46" s="19"/>
      <c r="U46" s="24" t="s">
        <v>582</v>
      </c>
      <c r="V46" s="25" t="s">
        <v>522</v>
      </c>
      <c r="W46" s="25" t="s">
        <v>523</v>
      </c>
      <c r="AA46" s="115" t="s">
        <v>534</v>
      </c>
      <c r="AB46" s="116">
        <v>46085</v>
      </c>
      <c r="AC46" s="115" t="s">
        <v>535</v>
      </c>
      <c r="AD46" s="115">
        <v>36</v>
      </c>
      <c r="AE46" s="115" t="s">
        <v>583</v>
      </c>
      <c r="AF46" s="115" t="s">
        <v>584</v>
      </c>
    </row>
    <row r="47" spans="1:32">
      <c r="F47" s="60"/>
      <c r="T47" s="19" t="s">
        <v>529</v>
      </c>
      <c r="U47" s="19">
        <f>W33+40+40+20</f>
        <v>194</v>
      </c>
      <c r="V47" s="19">
        <f>22+18+22+18</f>
        <v>80</v>
      </c>
      <c r="W47" s="19">
        <f>U47-V47</f>
        <v>114</v>
      </c>
      <c r="AA47" s="115" t="s">
        <v>534</v>
      </c>
      <c r="AB47" s="116">
        <v>46099</v>
      </c>
      <c r="AC47" s="115" t="s">
        <v>535</v>
      </c>
      <c r="AD47" s="115">
        <v>36</v>
      </c>
      <c r="AE47" s="115" t="s">
        <v>585</v>
      </c>
      <c r="AF47" s="115" t="s">
        <v>586</v>
      </c>
    </row>
    <row r="48" spans="1:32">
      <c r="F48" s="60"/>
      <c r="T48" s="19" t="s">
        <v>533</v>
      </c>
      <c r="U48" s="19">
        <f>W34+160</f>
        <v>594</v>
      </c>
      <c r="V48" s="19">
        <f>0</f>
        <v>0</v>
      </c>
      <c r="W48" s="19">
        <f>U48-V48</f>
        <v>594</v>
      </c>
      <c r="AA48" s="115" t="s">
        <v>557</v>
      </c>
      <c r="AB48" s="116">
        <v>46099</v>
      </c>
      <c r="AC48" s="115" t="s">
        <v>558</v>
      </c>
      <c r="AD48" s="115">
        <v>32</v>
      </c>
      <c r="AE48" s="115" t="s">
        <v>587</v>
      </c>
      <c r="AF48" s="115" t="s">
        <v>586</v>
      </c>
    </row>
    <row r="49" spans="6:32">
      <c r="F49" s="60"/>
      <c r="T49" s="19" t="s">
        <v>539</v>
      </c>
      <c r="U49" s="37">
        <f>373.51+86.58</f>
        <v>460.09</v>
      </c>
      <c r="V49" s="19">
        <f>22.38+22.38+36+22.48+22.34+22.34+22.44+68+22.37+18+22.46+22.48</f>
        <v>323.66999999999996</v>
      </c>
      <c r="W49" s="37">
        <f>U49-V49</f>
        <v>136.42000000000002</v>
      </c>
      <c r="X49" s="12">
        <v>136</v>
      </c>
      <c r="AA49" s="115" t="s">
        <v>524</v>
      </c>
      <c r="AB49" s="116">
        <v>46104</v>
      </c>
      <c r="AC49" s="115" t="s">
        <v>525</v>
      </c>
      <c r="AD49" s="115">
        <v>18</v>
      </c>
      <c r="AE49" s="115" t="s">
        <v>588</v>
      </c>
      <c r="AF49" s="115" t="s">
        <v>589</v>
      </c>
    </row>
    <row r="50" spans="6:32">
      <c r="F50" s="60"/>
      <c r="AA50" s="293" t="s">
        <v>590</v>
      </c>
      <c r="AB50" s="294">
        <v>46100</v>
      </c>
      <c r="AC50" s="293" t="s">
        <v>591</v>
      </c>
      <c r="AD50" s="293">
        <v>48</v>
      </c>
      <c r="AE50" s="293" t="s">
        <v>592</v>
      </c>
      <c r="AF50" s="293" t="s">
        <v>589</v>
      </c>
    </row>
    <row r="51" spans="6:32">
      <c r="F51" s="60"/>
      <c r="AA51" s="295" t="s">
        <v>530</v>
      </c>
      <c r="AB51" s="294">
        <v>46107</v>
      </c>
      <c r="AC51" s="296" t="s">
        <v>531</v>
      </c>
      <c r="AD51" s="293">
        <v>16</v>
      </c>
      <c r="AE51" s="293" t="s">
        <v>593</v>
      </c>
      <c r="AF51" s="293" t="s">
        <v>594</v>
      </c>
    </row>
    <row r="52" spans="6:32">
      <c r="F52" s="60"/>
    </row>
    <row r="53" spans="6:32">
      <c r="F53" s="60"/>
    </row>
    <row r="54" spans="6:32">
      <c r="F54" s="60"/>
      <c r="U54" s="110"/>
      <c r="V54" s="111"/>
      <c r="W54" s="111"/>
      <c r="AA54" s="6"/>
      <c r="AB54" s="219"/>
      <c r="AC54" s="6"/>
      <c r="AD54" s="6"/>
      <c r="AE54" s="6"/>
      <c r="AF54" s="6"/>
    </row>
    <row r="55" spans="6:32">
      <c r="F55" s="60"/>
      <c r="AA55" s="6"/>
      <c r="AB55" s="219"/>
      <c r="AC55" s="6"/>
      <c r="AD55" s="6"/>
      <c r="AE55" s="6"/>
      <c r="AF55" s="6"/>
    </row>
    <row r="56" spans="6:32">
      <c r="AA56" s="6"/>
      <c r="AB56" s="219"/>
      <c r="AC56" s="6"/>
      <c r="AD56" s="6"/>
      <c r="AE56" s="6"/>
      <c r="AF56" s="6"/>
    </row>
    <row r="57" spans="6:32">
      <c r="U57" s="113"/>
      <c r="V57" s="113"/>
      <c r="W57" s="113"/>
      <c r="AA57" s="6"/>
      <c r="AB57" s="219"/>
      <c r="AC57" s="6"/>
      <c r="AD57" s="6"/>
      <c r="AE57" s="6"/>
      <c r="AF57" s="6"/>
    </row>
    <row r="58" spans="6:32">
      <c r="T58" s="113"/>
      <c r="U58" s="113"/>
      <c r="V58" s="113"/>
      <c r="AA58" s="6"/>
      <c r="AB58" s="219"/>
      <c r="AC58" s="6"/>
      <c r="AD58" s="6"/>
      <c r="AE58" s="6"/>
      <c r="AF58" s="6"/>
    </row>
    <row r="59" spans="6:32" ht="30">
      <c r="T59" s="19"/>
      <c r="U59" s="24" t="s">
        <v>595</v>
      </c>
      <c r="V59" s="25" t="s">
        <v>522</v>
      </c>
      <c r="W59" s="25" t="s">
        <v>523</v>
      </c>
      <c r="AA59" s="293" t="s">
        <v>534</v>
      </c>
      <c r="AB59" s="294">
        <v>46114</v>
      </c>
      <c r="AC59" s="293" t="s">
        <v>535</v>
      </c>
      <c r="AD59" s="293">
        <v>36</v>
      </c>
      <c r="AE59" s="293" t="s">
        <v>596</v>
      </c>
      <c r="AF59" s="293" t="s">
        <v>597</v>
      </c>
    </row>
    <row r="60" spans="6:32">
      <c r="T60" s="19" t="s">
        <v>529</v>
      </c>
      <c r="U60" s="19">
        <f>W47+40</f>
        <v>154</v>
      </c>
      <c r="V60" s="19">
        <f>18+22+22+18</f>
        <v>80</v>
      </c>
      <c r="W60" s="19">
        <f>U60-V60</f>
        <v>74</v>
      </c>
      <c r="AA60" s="329" t="s">
        <v>524</v>
      </c>
      <c r="AB60" s="330">
        <v>46121</v>
      </c>
      <c r="AC60" s="329" t="s">
        <v>525</v>
      </c>
      <c r="AD60" s="329">
        <v>18</v>
      </c>
      <c r="AE60" s="329" t="s">
        <v>598</v>
      </c>
      <c r="AF60" s="329" t="s">
        <v>599</v>
      </c>
    </row>
    <row r="61" spans="6:32">
      <c r="T61" s="19" t="s">
        <v>533</v>
      </c>
      <c r="U61" s="19">
        <f>W48</f>
        <v>594</v>
      </c>
      <c r="V61" s="19">
        <f>80+80+80</f>
        <v>240</v>
      </c>
      <c r="W61" s="19">
        <f>U61-V61</f>
        <v>354</v>
      </c>
      <c r="Z61" s="220"/>
      <c r="AA61" s="115" t="s">
        <v>534</v>
      </c>
      <c r="AB61" s="116">
        <v>46135</v>
      </c>
      <c r="AC61" s="115" t="s">
        <v>535</v>
      </c>
      <c r="AD61" s="115">
        <v>36</v>
      </c>
      <c r="AE61" s="115" t="s">
        <v>600</v>
      </c>
      <c r="AF61" s="115" t="s">
        <v>601</v>
      </c>
    </row>
    <row r="62" spans="6:32">
      <c r="T62" s="19" t="s">
        <v>539</v>
      </c>
      <c r="U62" s="37">
        <f>136+86.29+81.78+64.94+61.95+86.74</f>
        <v>517.70000000000005</v>
      </c>
      <c r="V62" s="19">
        <f>22.33+22.36+22.45+22.39+22.36+36+22.31+22.35</f>
        <v>192.54999999999998</v>
      </c>
      <c r="W62" s="37">
        <f>U62-V62</f>
        <v>325.15000000000009</v>
      </c>
      <c r="X62" s="12">
        <v>324.58</v>
      </c>
      <c r="Z62" s="220"/>
      <c r="AA62" s="6"/>
      <c r="AB62" s="219"/>
      <c r="AC62" s="6"/>
      <c r="AD62" s="6"/>
      <c r="AE62" s="6"/>
      <c r="AF62" s="6"/>
    </row>
    <row r="63" spans="6:32">
      <c r="Z63" s="220"/>
      <c r="AA63" s="6"/>
      <c r="AB63" s="219"/>
      <c r="AC63" s="6"/>
      <c r="AD63" s="6"/>
      <c r="AE63" s="6"/>
      <c r="AF63" s="6"/>
    </row>
    <row r="64" spans="6:32">
      <c r="T64" s="113"/>
      <c r="U64" s="113"/>
      <c r="V64" s="113"/>
      <c r="Z64" s="220"/>
      <c r="AA64" s="221"/>
      <c r="AC64" s="6"/>
      <c r="AD64" s="222"/>
    </row>
    <row r="65" spans="20:32">
      <c r="Z65" s="220"/>
      <c r="AA65" s="223"/>
      <c r="AC65" s="6"/>
      <c r="AD65" s="224"/>
    </row>
    <row r="66" spans="20:32">
      <c r="Z66" s="225"/>
      <c r="AA66" s="223"/>
      <c r="AC66" s="6"/>
      <c r="AD66" s="224"/>
    </row>
    <row r="67" spans="20:32">
      <c r="U67" s="110"/>
      <c r="V67" s="111"/>
      <c r="W67" s="111"/>
      <c r="Z67" s="225"/>
      <c r="AA67" s="6"/>
      <c r="AB67" s="219"/>
      <c r="AC67" s="6"/>
      <c r="AD67" s="6"/>
      <c r="AE67" s="6"/>
      <c r="AF67" s="6"/>
    </row>
    <row r="68" spans="20:32">
      <c r="AA68" s="6"/>
      <c r="AB68" s="219"/>
      <c r="AC68" s="6"/>
      <c r="AD68" s="6"/>
      <c r="AE68" s="6"/>
      <c r="AF68" s="6"/>
    </row>
    <row r="69" spans="20:32">
      <c r="AA69" s="6"/>
      <c r="AB69" s="219"/>
      <c r="AC69" s="6"/>
      <c r="AD69" s="6"/>
      <c r="AE69" s="226"/>
      <c r="AF69" s="6"/>
    </row>
    <row r="70" spans="20:32">
      <c r="U70" s="113"/>
      <c r="V70" s="113"/>
      <c r="W70" s="113"/>
      <c r="AA70" s="6"/>
      <c r="AB70" s="219"/>
      <c r="AC70" s="6"/>
      <c r="AD70" s="6"/>
      <c r="AE70" s="56"/>
      <c r="AF70" s="6"/>
    </row>
    <row r="71" spans="20:32">
      <c r="T71" s="110"/>
      <c r="U71" s="111"/>
      <c r="V71" s="111"/>
      <c r="Z71" s="227"/>
      <c r="AA71" s="6"/>
      <c r="AB71" s="219"/>
      <c r="AC71" s="6"/>
      <c r="AD71" s="6"/>
      <c r="AE71" s="226"/>
      <c r="AF71" s="6"/>
    </row>
    <row r="72" spans="20:32" ht="30">
      <c r="T72" s="19"/>
      <c r="U72" s="24" t="s">
        <v>602</v>
      </c>
      <c r="V72" s="25" t="s">
        <v>522</v>
      </c>
      <c r="W72" s="25" t="s">
        <v>523</v>
      </c>
      <c r="Z72" s="227"/>
      <c r="AA72" s="115" t="s">
        <v>524</v>
      </c>
      <c r="AB72" s="116">
        <v>46143</v>
      </c>
      <c r="AC72" s="115" t="s">
        <v>525</v>
      </c>
      <c r="AD72" s="115">
        <v>18</v>
      </c>
      <c r="AE72" s="115" t="s">
        <v>603</v>
      </c>
      <c r="AF72" s="115" t="s">
        <v>604</v>
      </c>
    </row>
    <row r="73" spans="20:32">
      <c r="T73" s="19" t="s">
        <v>529</v>
      </c>
      <c r="U73" s="19">
        <f>W60+20+20+20</f>
        <v>134</v>
      </c>
      <c r="V73" s="19">
        <f>22+18+18+22+18+22</f>
        <v>120</v>
      </c>
      <c r="W73" s="19">
        <f>U73-V73</f>
        <v>14</v>
      </c>
      <c r="Z73" s="228"/>
      <c r="AA73" s="115" t="s">
        <v>524</v>
      </c>
      <c r="AB73" s="116">
        <v>46149</v>
      </c>
      <c r="AC73" s="115" t="s">
        <v>525</v>
      </c>
      <c r="AD73" s="115">
        <v>18</v>
      </c>
      <c r="AE73" s="115" t="s">
        <v>605</v>
      </c>
      <c r="AF73" s="115" t="s">
        <v>606</v>
      </c>
    </row>
    <row r="74" spans="20:32">
      <c r="T74" s="19" t="s">
        <v>533</v>
      </c>
      <c r="U74" s="19">
        <f>W61</f>
        <v>354</v>
      </c>
      <c r="V74" s="19">
        <f>0</f>
        <v>0</v>
      </c>
      <c r="W74" s="19">
        <f>U74-V74</f>
        <v>354</v>
      </c>
      <c r="Z74" s="228"/>
      <c r="AA74" s="115" t="s">
        <v>524</v>
      </c>
      <c r="AB74" s="116">
        <v>46157</v>
      </c>
      <c r="AC74" s="115" t="s">
        <v>525</v>
      </c>
      <c r="AD74" s="115">
        <v>18</v>
      </c>
      <c r="AE74" s="115" t="s">
        <v>607</v>
      </c>
      <c r="AF74" s="115" t="s">
        <v>608</v>
      </c>
    </row>
    <row r="75" spans="20:32">
      <c r="T75" s="19" t="s">
        <v>539</v>
      </c>
      <c r="U75" s="37">
        <f>324.58+84.82</f>
        <v>409.4</v>
      </c>
      <c r="V75" s="19">
        <f>18+22.37+22.3+18+22.3+22.42+22.32+22.32+18+22.31+22.34</f>
        <v>232.68</v>
      </c>
      <c r="W75" s="246">
        <f>U75-V75</f>
        <v>176.71999999999997</v>
      </c>
      <c r="Z75" s="228"/>
      <c r="AA75" s="229"/>
      <c r="AC75" s="22"/>
      <c r="AD75" s="228"/>
      <c r="AE75" s="228"/>
    </row>
    <row r="76" spans="20:32">
      <c r="Z76" s="228"/>
      <c r="AA76" s="229"/>
      <c r="AC76" s="22"/>
      <c r="AD76" s="230"/>
      <c r="AE76" s="228"/>
    </row>
    <row r="77" spans="20:32">
      <c r="Z77" s="228"/>
      <c r="AA77" s="229"/>
      <c r="AC77" s="22"/>
      <c r="AD77" s="230"/>
      <c r="AE77" s="228"/>
    </row>
    <row r="78" spans="20:32">
      <c r="Z78" s="228"/>
      <c r="AA78" s="229"/>
      <c r="AC78" s="6"/>
      <c r="AD78" s="228"/>
      <c r="AE78" s="228"/>
    </row>
    <row r="79" spans="20:32">
      <c r="U79" s="110"/>
      <c r="V79" s="111"/>
      <c r="W79" s="111"/>
      <c r="Z79" s="231"/>
      <c r="AA79" s="6"/>
      <c r="AB79" s="219"/>
      <c r="AC79" s="6"/>
      <c r="AD79" s="6"/>
      <c r="AE79" s="6"/>
      <c r="AF79" s="6"/>
    </row>
    <row r="80" spans="20:32">
      <c r="AA80" s="6"/>
      <c r="AB80" s="219"/>
      <c r="AC80" s="6"/>
      <c r="AD80" s="6"/>
      <c r="AE80" s="6"/>
      <c r="AF80" s="6"/>
    </row>
    <row r="82" spans="20:32">
      <c r="U82" s="113"/>
      <c r="V82" s="113"/>
      <c r="W82" s="113"/>
    </row>
    <row r="84" spans="20:32">
      <c r="T84" s="110"/>
      <c r="U84" s="111"/>
      <c r="V84" s="111"/>
      <c r="AA84" s="232"/>
      <c r="AC84" s="6"/>
    </row>
    <row r="85" spans="20:32" ht="30">
      <c r="T85" s="19"/>
      <c r="U85" s="24" t="s">
        <v>609</v>
      </c>
      <c r="V85" s="25" t="s">
        <v>522</v>
      </c>
      <c r="W85" s="25" t="s">
        <v>523</v>
      </c>
      <c r="AA85" s="115" t="s">
        <v>534</v>
      </c>
      <c r="AB85" s="116">
        <v>46183</v>
      </c>
      <c r="AC85" s="115" t="s">
        <v>535</v>
      </c>
      <c r="AD85" s="115">
        <v>36</v>
      </c>
      <c r="AE85" s="115" t="s">
        <v>610</v>
      </c>
      <c r="AF85" s="115" t="s">
        <v>611</v>
      </c>
    </row>
    <row r="86" spans="20:32">
      <c r="T86" s="19" t="s">
        <v>529</v>
      </c>
      <c r="U86" s="19">
        <f>W73+40+40</f>
        <v>94</v>
      </c>
      <c r="V86" s="19">
        <f>18+18+18+18</f>
        <v>72</v>
      </c>
      <c r="W86" s="19">
        <f>U86-V86</f>
        <v>22</v>
      </c>
      <c r="AA86" s="115" t="s">
        <v>534</v>
      </c>
      <c r="AB86" s="116">
        <v>46189</v>
      </c>
      <c r="AC86" s="115" t="s">
        <v>535</v>
      </c>
      <c r="AD86" s="115">
        <v>36</v>
      </c>
      <c r="AE86" s="115" t="s">
        <v>612</v>
      </c>
      <c r="AF86" s="115" t="s">
        <v>613</v>
      </c>
    </row>
    <row r="87" spans="20:32">
      <c r="T87" s="19" t="s">
        <v>533</v>
      </c>
      <c r="U87" s="19">
        <f>W74</f>
        <v>354</v>
      </c>
      <c r="V87" s="19">
        <f>80+80</f>
        <v>160</v>
      </c>
      <c r="W87" s="19">
        <f>U87-V87</f>
        <v>194</v>
      </c>
      <c r="X87" s="233"/>
      <c r="AA87" s="232"/>
      <c r="AC87" s="6"/>
    </row>
    <row r="88" spans="20:32">
      <c r="T88" s="19" t="s">
        <v>539</v>
      </c>
      <c r="U88" s="37">
        <f>W75+64.96+86.61+64.87</f>
        <v>393.15999999999997</v>
      </c>
      <c r="V88" s="19">
        <f>22.32+22.33+36+36+22.38+22.38+22.45+22.45+22.35</f>
        <v>228.65999999999997</v>
      </c>
      <c r="W88" s="37">
        <f>U88-V88</f>
        <v>164.5</v>
      </c>
      <c r="X88" s="12">
        <v>164.02</v>
      </c>
      <c r="AA88" s="234"/>
      <c r="AC88" s="6"/>
      <c r="AF88" s="31"/>
    </row>
    <row r="89" spans="20:32">
      <c r="AA89" s="234"/>
      <c r="AC89" s="6"/>
      <c r="AF89" s="31"/>
    </row>
    <row r="90" spans="20:32">
      <c r="U90" s="110"/>
      <c r="V90" s="111"/>
      <c r="W90" s="111"/>
      <c r="AA90" s="6"/>
      <c r="AB90" s="219"/>
      <c r="AC90" s="6"/>
      <c r="AD90" s="6"/>
      <c r="AE90" s="6"/>
      <c r="AF90" s="6"/>
    </row>
    <row r="91" spans="20:32">
      <c r="AA91" s="6"/>
      <c r="AB91" s="219"/>
      <c r="AC91" s="6"/>
      <c r="AD91" s="6"/>
      <c r="AE91" s="6"/>
      <c r="AF91" s="6"/>
    </row>
    <row r="92" spans="20:32">
      <c r="AA92" s="6"/>
      <c r="AB92" s="219"/>
      <c r="AC92" s="6"/>
      <c r="AD92" s="6"/>
      <c r="AE92" s="6"/>
      <c r="AF92" s="6"/>
    </row>
    <row r="93" spans="20:32">
      <c r="U93" s="113"/>
      <c r="V93" s="113"/>
      <c r="W93" s="113"/>
      <c r="AA93" s="6"/>
      <c r="AB93" s="219"/>
      <c r="AC93" s="6"/>
      <c r="AD93" s="6"/>
      <c r="AE93" s="6"/>
      <c r="AF93" s="6"/>
    </row>
    <row r="94" spans="20:32">
      <c r="T94" s="110"/>
      <c r="U94" s="111"/>
      <c r="V94" s="111"/>
      <c r="AA94" s="232"/>
      <c r="AC94" s="6"/>
    </row>
    <row r="95" spans="20:32">
      <c r="AA95" s="232"/>
      <c r="AC95" s="6"/>
    </row>
    <row r="96" spans="20:32">
      <c r="AC96" s="6"/>
    </row>
    <row r="97" spans="20:32">
      <c r="T97" s="113"/>
      <c r="U97" s="113"/>
      <c r="V97" s="113"/>
      <c r="AC97" s="6"/>
    </row>
    <row r="98" spans="20:32" ht="28.5" customHeight="1">
      <c r="T98" s="19"/>
      <c r="U98" s="24" t="s">
        <v>614</v>
      </c>
      <c r="V98" s="25" t="s">
        <v>522</v>
      </c>
      <c r="W98" s="25" t="s">
        <v>523</v>
      </c>
      <c r="AA98" s="115" t="s">
        <v>524</v>
      </c>
      <c r="AB98" s="116">
        <v>46228</v>
      </c>
      <c r="AC98" s="115" t="s">
        <v>525</v>
      </c>
      <c r="AD98" s="115">
        <v>18</v>
      </c>
      <c r="AE98" s="115" t="s">
        <v>615</v>
      </c>
      <c r="AF98" s="115" t="s">
        <v>616</v>
      </c>
    </row>
    <row r="99" spans="20:32">
      <c r="T99" s="19" t="s">
        <v>529</v>
      </c>
      <c r="U99" s="19">
        <f>W86+20+20</f>
        <v>62</v>
      </c>
      <c r="V99" s="19">
        <f>18+18</f>
        <v>36</v>
      </c>
      <c r="W99" s="19">
        <f>U99-V99</f>
        <v>26</v>
      </c>
      <c r="AA99" s="115" t="s">
        <v>524</v>
      </c>
      <c r="AB99" s="116">
        <v>46232</v>
      </c>
      <c r="AC99" s="115" t="s">
        <v>525</v>
      </c>
      <c r="AD99" s="115">
        <v>18</v>
      </c>
      <c r="AE99" s="115" t="s">
        <v>617</v>
      </c>
      <c r="AF99" s="115" t="s">
        <v>618</v>
      </c>
    </row>
    <row r="100" spans="20:32">
      <c r="T100" s="19" t="s">
        <v>533</v>
      </c>
      <c r="U100" s="19">
        <f>W87</f>
        <v>194</v>
      </c>
      <c r="V100" s="19">
        <f>0</f>
        <v>0</v>
      </c>
      <c r="W100" s="19">
        <f>U100-V100</f>
        <v>194</v>
      </c>
      <c r="AC100" s="6"/>
    </row>
    <row r="101" spans="20:32">
      <c r="T101" s="19" t="s">
        <v>539</v>
      </c>
      <c r="U101" s="37">
        <f>164.02+86.42+85.88</f>
        <v>336.32</v>
      </c>
      <c r="V101" s="19">
        <f>22.44+22.36+22.4+22.39+22.37+22.37+22.36+18+18</f>
        <v>192.69</v>
      </c>
      <c r="W101" s="37">
        <f>U101-V101</f>
        <v>143.63</v>
      </c>
      <c r="X101" s="12">
        <v>143.25</v>
      </c>
      <c r="AA101" s="6"/>
      <c r="AB101" s="219"/>
      <c r="AC101" s="6"/>
      <c r="AD101" s="6"/>
      <c r="AE101" s="6"/>
      <c r="AF101" s="6"/>
    </row>
    <row r="102" spans="20:32">
      <c r="AA102" s="6"/>
      <c r="AB102" s="219"/>
      <c r="AC102" s="6"/>
      <c r="AD102" s="6"/>
      <c r="AE102" s="6"/>
      <c r="AF102" s="6"/>
    </row>
    <row r="103" spans="20:32">
      <c r="AA103" s="6"/>
      <c r="AB103" s="219"/>
      <c r="AC103" s="6"/>
      <c r="AD103" s="6"/>
      <c r="AE103" s="6"/>
      <c r="AF103" s="6"/>
    </row>
    <row r="104" spans="20:32">
      <c r="U104" s="113"/>
      <c r="V104" s="113"/>
      <c r="W104" s="113"/>
      <c r="AA104" s="6"/>
      <c r="AB104" s="219"/>
      <c r="AC104" s="6"/>
      <c r="AD104" s="6"/>
      <c r="AE104" s="6"/>
      <c r="AF104" s="6"/>
    </row>
    <row r="105" spans="20:32">
      <c r="AA105" s="6"/>
      <c r="AB105" s="219"/>
      <c r="AC105" s="6"/>
      <c r="AD105" s="6"/>
      <c r="AE105" s="6"/>
      <c r="AF105" s="6"/>
    </row>
    <row r="106" spans="20:32">
      <c r="T106" s="113"/>
      <c r="U106" s="113"/>
      <c r="V106" s="113"/>
      <c r="AA106" s="6"/>
      <c r="AB106" s="219"/>
      <c r="AC106" s="6"/>
      <c r="AD106" s="6"/>
      <c r="AE106" s="6"/>
      <c r="AF106" s="6"/>
    </row>
    <row r="107" spans="20:32">
      <c r="AC107" s="6"/>
    </row>
    <row r="108" spans="20:32">
      <c r="AC108" s="6"/>
    </row>
    <row r="111" spans="20:32" ht="30">
      <c r="T111" s="19"/>
      <c r="U111" s="24" t="s">
        <v>619</v>
      </c>
      <c r="V111" s="25" t="s">
        <v>522</v>
      </c>
      <c r="W111" s="25" t="s">
        <v>523</v>
      </c>
      <c r="AA111" s="115" t="s">
        <v>534</v>
      </c>
      <c r="AB111" s="116">
        <v>46248</v>
      </c>
      <c r="AC111" s="115" t="s">
        <v>535</v>
      </c>
      <c r="AD111" s="115">
        <v>36</v>
      </c>
      <c r="AE111" s="115" t="s">
        <v>620</v>
      </c>
      <c r="AF111" s="115" t="s">
        <v>621</v>
      </c>
    </row>
    <row r="112" spans="20:32">
      <c r="T112" s="19" t="s">
        <v>529</v>
      </c>
      <c r="U112" s="19">
        <f>W99+40+20+20</f>
        <v>106</v>
      </c>
      <c r="V112" s="19">
        <f>18+18+18</f>
        <v>54</v>
      </c>
      <c r="W112" s="19">
        <f>U112-V112</f>
        <v>52</v>
      </c>
      <c r="AA112" s="115" t="s">
        <v>524</v>
      </c>
      <c r="AB112" s="116">
        <v>46252</v>
      </c>
      <c r="AC112" s="115" t="s">
        <v>525</v>
      </c>
      <c r="AD112" s="115">
        <v>18</v>
      </c>
      <c r="AE112" s="115" t="s">
        <v>620</v>
      </c>
      <c r="AF112" s="115" t="s">
        <v>622</v>
      </c>
    </row>
    <row r="113" spans="20:32">
      <c r="T113" s="19" t="s">
        <v>533</v>
      </c>
      <c r="U113" s="19">
        <f>W100</f>
        <v>194</v>
      </c>
      <c r="V113" s="19">
        <v>80</v>
      </c>
      <c r="W113" s="19">
        <f>U113-V113</f>
        <v>114</v>
      </c>
      <c r="AA113" s="115" t="s">
        <v>524</v>
      </c>
      <c r="AB113" s="116">
        <v>46256</v>
      </c>
      <c r="AC113" s="115" t="s">
        <v>525</v>
      </c>
      <c r="AD113" s="115">
        <v>18</v>
      </c>
      <c r="AE113" s="115" t="s">
        <v>620</v>
      </c>
      <c r="AF113" s="115" t="s">
        <v>622</v>
      </c>
    </row>
    <row r="114" spans="20:32">
      <c r="T114" s="19" t="s">
        <v>539</v>
      </c>
      <c r="U114" s="37">
        <f>143.25+86.54+86.66+65.11+86.82+87.05+86.69</f>
        <v>642.12000000000012</v>
      </c>
      <c r="V114" s="19">
        <f>22.34+22.35+22.37+22.47+22.38+22.5+22.43+36+18+22.5+18+22.38+22.43</f>
        <v>296.15000000000003</v>
      </c>
      <c r="W114" s="246">
        <f>U114-V114</f>
        <v>345.97000000000008</v>
      </c>
      <c r="Z114" s="7"/>
      <c r="AA114" s="6"/>
      <c r="AB114" s="219"/>
      <c r="AC114" s="6"/>
      <c r="AD114" s="6"/>
      <c r="AE114" s="226"/>
      <c r="AF114" s="6"/>
    </row>
    <row r="115" spans="20:32">
      <c r="Z115" s="7"/>
      <c r="AA115" s="6"/>
      <c r="AB115" s="219"/>
      <c r="AC115" s="6"/>
      <c r="AD115" s="6"/>
      <c r="AE115" s="6"/>
      <c r="AF115" s="6"/>
    </row>
    <row r="117" spans="20:32">
      <c r="U117" s="113"/>
      <c r="V117" s="113"/>
      <c r="W117" s="113"/>
    </row>
    <row r="120" spans="20:32" ht="30">
      <c r="T120" s="19"/>
      <c r="U120" s="24" t="s">
        <v>623</v>
      </c>
      <c r="V120" s="25" t="s">
        <v>522</v>
      </c>
      <c r="W120" s="25" t="s">
        <v>523</v>
      </c>
      <c r="AA120" s="115" t="s">
        <v>524</v>
      </c>
      <c r="AB120" s="116">
        <v>46272</v>
      </c>
      <c r="AC120" s="585" t="s">
        <v>624</v>
      </c>
      <c r="AD120" s="585">
        <v>18</v>
      </c>
      <c r="AE120" s="585" t="s">
        <v>625</v>
      </c>
      <c r="AF120" s="585" t="s">
        <v>626</v>
      </c>
    </row>
    <row r="121" spans="20:32">
      <c r="T121" s="19" t="s">
        <v>529</v>
      </c>
      <c r="U121" s="19">
        <f>W112+60+40+40</f>
        <v>192</v>
      </c>
      <c r="V121" s="19">
        <f>0</f>
        <v>0</v>
      </c>
      <c r="W121" s="19">
        <f>U121-V121</f>
        <v>192</v>
      </c>
      <c r="AA121" s="115" t="s">
        <v>524</v>
      </c>
      <c r="AB121" s="235">
        <v>46272</v>
      </c>
      <c r="AC121" s="5" t="s">
        <v>624</v>
      </c>
      <c r="AD121" s="5">
        <v>18</v>
      </c>
      <c r="AE121" s="5" t="s">
        <v>625</v>
      </c>
      <c r="AF121" s="5" t="s">
        <v>626</v>
      </c>
    </row>
    <row r="122" spans="20:32">
      <c r="T122" s="19" t="s">
        <v>533</v>
      </c>
      <c r="U122" s="19">
        <f>W113+160</f>
        <v>274</v>
      </c>
      <c r="V122" s="19">
        <f>80</f>
        <v>80</v>
      </c>
      <c r="W122" s="19">
        <f>U122-V122</f>
        <v>194</v>
      </c>
      <c r="Z122" s="6"/>
      <c r="AA122" s="115" t="s">
        <v>524</v>
      </c>
      <c r="AB122" s="235">
        <v>46272</v>
      </c>
      <c r="AC122" s="5" t="s">
        <v>624</v>
      </c>
      <c r="AD122" s="5">
        <v>18</v>
      </c>
      <c r="AE122" s="5" t="s">
        <v>625</v>
      </c>
      <c r="AF122" s="5" t="s">
        <v>626</v>
      </c>
    </row>
    <row r="123" spans="20:32">
      <c r="T123" s="19" t="s">
        <v>539</v>
      </c>
      <c r="U123" s="37">
        <f>W114+83.04+103.28</f>
        <v>532.29000000000008</v>
      </c>
      <c r="V123" s="19">
        <f>22.38+54+32+36+22.4+36</f>
        <v>202.78</v>
      </c>
      <c r="W123" s="37">
        <f>U123-V123</f>
        <v>329.5100000000001</v>
      </c>
      <c r="Z123" s="6"/>
      <c r="AA123" s="255" t="s">
        <v>530</v>
      </c>
      <c r="AB123" s="116">
        <v>46277</v>
      </c>
      <c r="AC123" s="256" t="s">
        <v>531</v>
      </c>
      <c r="AD123" s="115">
        <v>16</v>
      </c>
      <c r="AE123" s="115" t="s">
        <v>592</v>
      </c>
      <c r="AF123" s="5" t="s">
        <v>627</v>
      </c>
    </row>
    <row r="124" spans="20:32">
      <c r="Z124" s="6"/>
      <c r="AA124" s="255" t="s">
        <v>530</v>
      </c>
      <c r="AB124" s="116">
        <v>46277</v>
      </c>
      <c r="AC124" s="256" t="s">
        <v>531</v>
      </c>
      <c r="AD124" s="115">
        <v>16</v>
      </c>
      <c r="AE124" s="115" t="s">
        <v>593</v>
      </c>
      <c r="AF124" s="5" t="s">
        <v>627</v>
      </c>
    </row>
    <row r="125" spans="20:32">
      <c r="T125" s="113"/>
      <c r="U125" s="113"/>
      <c r="V125" s="113"/>
      <c r="Z125" s="6"/>
      <c r="AA125" s="115" t="s">
        <v>524</v>
      </c>
      <c r="AB125" s="235">
        <v>46279</v>
      </c>
      <c r="AC125" s="5" t="s">
        <v>624</v>
      </c>
      <c r="AD125" s="5">
        <v>18</v>
      </c>
      <c r="AE125" s="5" t="s">
        <v>625</v>
      </c>
      <c r="AF125" s="5" t="s">
        <v>628</v>
      </c>
    </row>
    <row r="126" spans="20:32">
      <c r="Z126" s="6"/>
      <c r="AA126" s="115" t="s">
        <v>524</v>
      </c>
      <c r="AB126" s="235">
        <v>46279</v>
      </c>
      <c r="AC126" s="5" t="s">
        <v>624</v>
      </c>
      <c r="AD126" s="5">
        <v>18</v>
      </c>
      <c r="AE126" s="5" t="s">
        <v>629</v>
      </c>
      <c r="AF126" s="5" t="s">
        <v>628</v>
      </c>
    </row>
    <row r="127" spans="20:32">
      <c r="Z127" s="6"/>
      <c r="AA127" s="115" t="s">
        <v>524</v>
      </c>
      <c r="AB127" s="235">
        <v>46282</v>
      </c>
      <c r="AC127" s="5" t="s">
        <v>624</v>
      </c>
      <c r="AD127" s="5">
        <v>18</v>
      </c>
      <c r="AE127" s="5" t="s">
        <v>629</v>
      </c>
      <c r="AF127" s="5" t="s">
        <v>628</v>
      </c>
    </row>
    <row r="128" spans="20:32">
      <c r="U128" s="110"/>
      <c r="V128" s="111"/>
      <c r="W128" s="111"/>
      <c r="AA128" s="115" t="s">
        <v>524</v>
      </c>
      <c r="AB128" s="235">
        <v>46282</v>
      </c>
      <c r="AC128" s="5" t="s">
        <v>624</v>
      </c>
      <c r="AD128" s="5">
        <v>18</v>
      </c>
      <c r="AE128" s="5" t="s">
        <v>629</v>
      </c>
      <c r="AF128" s="5" t="s">
        <v>628</v>
      </c>
    </row>
    <row r="129" spans="20:32">
      <c r="AA129" s="106" t="s">
        <v>524</v>
      </c>
      <c r="AB129" s="591">
        <v>46286</v>
      </c>
      <c r="AC129" s="21" t="s">
        <v>624</v>
      </c>
      <c r="AD129" s="21">
        <v>18</v>
      </c>
      <c r="AE129" s="21" t="s">
        <v>629</v>
      </c>
      <c r="AF129" s="21" t="s">
        <v>630</v>
      </c>
    </row>
    <row r="130" spans="20:32">
      <c r="AA130" s="106" t="s">
        <v>524</v>
      </c>
      <c r="AB130" s="591">
        <v>46286</v>
      </c>
      <c r="AC130" s="21" t="s">
        <v>624</v>
      </c>
      <c r="AD130" s="21">
        <v>18</v>
      </c>
      <c r="AE130" s="21" t="s">
        <v>629</v>
      </c>
      <c r="AF130" s="21" t="s">
        <v>630</v>
      </c>
    </row>
    <row r="131" spans="20:32">
      <c r="U131" s="113"/>
      <c r="W131" s="113"/>
      <c r="AA131" s="6"/>
      <c r="AB131" s="219"/>
      <c r="AC131" s="6"/>
      <c r="AD131" s="6"/>
      <c r="AE131" s="6"/>
      <c r="AF131" s="6"/>
    </row>
    <row r="132" spans="20:32">
      <c r="AA132" s="6"/>
      <c r="AB132" s="219"/>
      <c r="AC132" s="6"/>
      <c r="AD132" s="6"/>
      <c r="AE132" s="6"/>
      <c r="AF132" s="6"/>
    </row>
    <row r="133" spans="20:32">
      <c r="AA133" s="6"/>
      <c r="AB133" s="219"/>
      <c r="AC133" s="6"/>
      <c r="AD133" s="6"/>
      <c r="AE133" s="6"/>
      <c r="AF133" s="6"/>
    </row>
    <row r="134" spans="20:32">
      <c r="T134" s="110"/>
      <c r="U134" s="111"/>
      <c r="V134" s="111"/>
      <c r="Z134" s="6"/>
      <c r="AA134" s="6"/>
      <c r="AB134" s="219"/>
      <c r="AC134" s="6"/>
      <c r="AD134" s="6"/>
      <c r="AE134" s="6"/>
      <c r="AF134" s="6"/>
    </row>
    <row r="135" spans="20:32">
      <c r="Z135" s="6"/>
      <c r="AA135" s="6"/>
      <c r="AB135" s="219"/>
      <c r="AC135" s="6"/>
      <c r="AD135" s="6"/>
      <c r="AE135" s="6"/>
      <c r="AF135" s="6"/>
    </row>
    <row r="136" spans="20:32">
      <c r="Z136" s="6"/>
      <c r="AA136" s="219"/>
      <c r="AB136" s="6"/>
      <c r="AC136" s="6"/>
      <c r="AD136" s="6"/>
      <c r="AE136" s="6"/>
    </row>
    <row r="137" spans="20:32">
      <c r="T137" s="113"/>
      <c r="U137" s="113"/>
      <c r="V137" s="113"/>
      <c r="Z137" s="6"/>
      <c r="AA137" s="219"/>
      <c r="AB137" s="6"/>
      <c r="AC137" s="6"/>
      <c r="AD137" s="6"/>
      <c r="AE137" s="6"/>
    </row>
    <row r="138" spans="20:32">
      <c r="Z138" s="6"/>
      <c r="AA138" s="219"/>
      <c r="AB138" s="6"/>
      <c r="AC138" s="6"/>
      <c r="AD138" s="6"/>
      <c r="AE138" s="6"/>
    </row>
    <row r="139" spans="20:32">
      <c r="Z139" s="6"/>
      <c r="AA139" s="219"/>
      <c r="AB139" s="6"/>
      <c r="AC139" s="6"/>
      <c r="AD139" s="6"/>
      <c r="AE139" s="6"/>
    </row>
    <row r="140" spans="20:32">
      <c r="Z140" s="6"/>
      <c r="AA140" s="219"/>
      <c r="AB140" s="6"/>
      <c r="AC140" s="6"/>
      <c r="AD140" s="6"/>
      <c r="AE140" s="6"/>
    </row>
    <row r="141" spans="20:32">
      <c r="Z141" s="6"/>
      <c r="AA141" s="219"/>
      <c r="AB141" s="6"/>
      <c r="AC141" s="6"/>
      <c r="AD141" s="6"/>
      <c r="AE141" s="6"/>
    </row>
    <row r="142" spans="20:32">
      <c r="U142" s="110"/>
      <c r="V142" s="111"/>
      <c r="W142" s="111"/>
      <c r="Z142" s="6"/>
      <c r="AA142" s="6"/>
      <c r="AB142" s="219"/>
      <c r="AC142" s="6"/>
      <c r="AD142" s="6"/>
      <c r="AE142" s="6"/>
      <c r="AF142" s="6"/>
    </row>
    <row r="143" spans="20:32">
      <c r="Z143" s="6"/>
      <c r="AA143" s="6"/>
      <c r="AB143" s="219"/>
      <c r="AC143" s="6"/>
      <c r="AD143" s="6"/>
      <c r="AE143" s="6"/>
      <c r="AF143" s="6"/>
    </row>
    <row r="144" spans="20:32">
      <c r="Z144" s="6"/>
      <c r="AA144" s="6"/>
      <c r="AB144" s="219"/>
      <c r="AC144" s="6"/>
      <c r="AD144" s="6"/>
      <c r="AE144" s="6"/>
      <c r="AF144" s="6"/>
    </row>
    <row r="145" spans="20:32">
      <c r="U145" s="113"/>
      <c r="W145" s="113"/>
      <c r="Z145" s="6"/>
      <c r="AA145" s="6"/>
      <c r="AB145" s="219"/>
      <c r="AC145" s="6"/>
      <c r="AD145" s="6"/>
      <c r="AE145" s="6"/>
      <c r="AF145" s="6"/>
    </row>
    <row r="146" spans="20:32">
      <c r="Z146" s="6"/>
      <c r="AA146" s="219"/>
      <c r="AB146" s="6"/>
      <c r="AC146" s="6"/>
      <c r="AD146" s="6"/>
      <c r="AE146" s="6"/>
    </row>
    <row r="147" spans="20:32">
      <c r="Z147" s="6"/>
      <c r="AA147" s="219"/>
      <c r="AB147" s="6"/>
      <c r="AC147" s="6"/>
      <c r="AD147" s="6"/>
      <c r="AE147" s="6"/>
    </row>
    <row r="152" spans="20:32">
      <c r="U152" s="110"/>
      <c r="V152" s="111"/>
      <c r="W152" s="111"/>
      <c r="AA152" s="6"/>
      <c r="AB152" s="219"/>
      <c r="AC152" s="6"/>
      <c r="AD152" s="6"/>
      <c r="AE152" s="6"/>
      <c r="AF152" s="6"/>
    </row>
    <row r="153" spans="20:32" s="176" customFormat="1">
      <c r="T153"/>
      <c r="U153"/>
      <c r="V153"/>
      <c r="W153"/>
      <c r="AA153" s="6"/>
      <c r="AB153" s="219"/>
      <c r="AC153" s="6"/>
      <c r="AD153" s="6"/>
      <c r="AE153" s="6"/>
      <c r="AF153" s="6"/>
    </row>
    <row r="154" spans="20:32">
      <c r="AA154" s="6"/>
      <c r="AB154" s="219"/>
      <c r="AC154" s="6"/>
      <c r="AD154" s="6"/>
      <c r="AE154" s="6"/>
      <c r="AF154" s="6"/>
    </row>
    <row r="155" spans="20:32">
      <c r="U155" s="113"/>
      <c r="W155" s="113"/>
      <c r="AA155" s="6"/>
      <c r="AB155" s="219"/>
      <c r="AC155" s="6"/>
      <c r="AD155" s="6"/>
      <c r="AE155" s="6"/>
      <c r="AF155" s="6"/>
    </row>
    <row r="156" spans="20:32">
      <c r="AA156" s="6"/>
      <c r="AB156" s="219"/>
      <c r="AC156" s="6"/>
      <c r="AD156" s="6"/>
      <c r="AE156" s="6"/>
      <c r="AF156" s="6"/>
    </row>
    <row r="157" spans="20:32">
      <c r="AA157" s="6"/>
      <c r="AB157" s="219"/>
      <c r="AC157" s="6"/>
      <c r="AD157" s="6"/>
      <c r="AE157" s="6"/>
      <c r="AF157" s="6"/>
    </row>
    <row r="164" spans="21:32">
      <c r="U164" s="110"/>
      <c r="V164" s="111"/>
      <c r="W164" s="111"/>
      <c r="AA164" s="6"/>
      <c r="AB164" s="219"/>
      <c r="AC164" s="6"/>
      <c r="AD164" s="6"/>
      <c r="AE164" s="6"/>
      <c r="AF164" s="6"/>
    </row>
    <row r="165" spans="21:32">
      <c r="AA165" s="6"/>
      <c r="AB165" s="219"/>
      <c r="AC165" s="6"/>
      <c r="AD165" s="6"/>
      <c r="AE165" s="6"/>
      <c r="AF165" s="6"/>
    </row>
    <row r="166" spans="21:32">
      <c r="AA166" s="6"/>
      <c r="AB166" s="219"/>
      <c r="AC166" s="6"/>
      <c r="AD166" s="6"/>
      <c r="AE166" s="6"/>
      <c r="AF166" s="6"/>
    </row>
    <row r="167" spans="21:32">
      <c r="U167" s="113"/>
      <c r="W167" s="113"/>
      <c r="AA167" s="6"/>
      <c r="AB167" s="219"/>
      <c r="AC167" s="6"/>
      <c r="AD167" s="6"/>
      <c r="AE167" s="6"/>
      <c r="AF167" s="6"/>
    </row>
    <row r="168" spans="21:32">
      <c r="AA168" s="6"/>
      <c r="AB168" s="219"/>
      <c r="AC168" s="6"/>
      <c r="AD168" s="6"/>
      <c r="AE168" s="6"/>
      <c r="AF168" s="6"/>
    </row>
    <row r="169" spans="21:32">
      <c r="AA169" s="6"/>
      <c r="AB169" s="219"/>
      <c r="AC169" s="6"/>
      <c r="AD169" s="6"/>
      <c r="AE169" s="6"/>
      <c r="AF169" s="6"/>
    </row>
    <row r="170" spans="21:32">
      <c r="AA170" s="6"/>
      <c r="AB170" s="219"/>
      <c r="AC170" s="6"/>
      <c r="AD170" s="6"/>
      <c r="AE170" s="6"/>
      <c r="AF170" s="6"/>
    </row>
    <row r="171" spans="21:32">
      <c r="AA171" s="6"/>
      <c r="AB171" s="219"/>
      <c r="AC171" s="6"/>
      <c r="AD171" s="6"/>
      <c r="AE171" s="6"/>
      <c r="AF171" s="6"/>
    </row>
    <row r="172" spans="21:32">
      <c r="AA172" s="6"/>
      <c r="AB172" s="219"/>
      <c r="AC172" s="6"/>
      <c r="AD172" s="6"/>
      <c r="AE172" s="6"/>
      <c r="AF172" s="6"/>
    </row>
    <row r="173" spans="21:32">
      <c r="AA173" s="6"/>
      <c r="AB173" s="219"/>
      <c r="AC173" s="6"/>
      <c r="AD173" s="6"/>
      <c r="AE173" s="6"/>
      <c r="AF173" s="6"/>
    </row>
    <row r="180" spans="27:32">
      <c r="AA180" s="6"/>
      <c r="AB180" s="219"/>
      <c r="AC180" s="6"/>
      <c r="AD180" s="6"/>
      <c r="AE180" s="6"/>
      <c r="AF180" s="6"/>
    </row>
    <row r="181" spans="27:32">
      <c r="AA181" s="6"/>
      <c r="AB181" s="219"/>
      <c r="AC181" s="6"/>
      <c r="AD181" s="6"/>
      <c r="AE181" s="6"/>
      <c r="AF181" s="6"/>
    </row>
    <row r="182" spans="27:32">
      <c r="AA182" s="6"/>
      <c r="AB182" s="219"/>
      <c r="AC182" s="6"/>
      <c r="AD182" s="6"/>
      <c r="AE182" s="6"/>
      <c r="AF182" s="6"/>
    </row>
    <row r="183" spans="27:32">
      <c r="AA183" s="6"/>
      <c r="AB183" s="219"/>
      <c r="AC183" s="6"/>
      <c r="AD183" s="6"/>
      <c r="AE183" s="6"/>
      <c r="AF183" s="6"/>
    </row>
    <row r="184" spans="27:32">
      <c r="AA184" s="6"/>
      <c r="AB184" s="219"/>
      <c r="AC184" s="6"/>
      <c r="AD184" s="6"/>
      <c r="AE184" s="6"/>
      <c r="AF184" s="6"/>
    </row>
  </sheetData>
  <mergeCells count="31">
    <mergeCell ref="B11:C11"/>
    <mergeCell ref="A1:J1"/>
    <mergeCell ref="A2:J2"/>
    <mergeCell ref="B3:C3"/>
    <mergeCell ref="B4:C4"/>
    <mergeCell ref="B5:C5"/>
    <mergeCell ref="B6:C6"/>
    <mergeCell ref="B7:C7"/>
    <mergeCell ref="B8:C8"/>
    <mergeCell ref="B9:C9"/>
    <mergeCell ref="B10:C10"/>
    <mergeCell ref="A22:E22"/>
    <mergeCell ref="B23:C23"/>
    <mergeCell ref="B24:C24"/>
    <mergeCell ref="B25:C25"/>
    <mergeCell ref="B26:C26"/>
    <mergeCell ref="B12:C12"/>
    <mergeCell ref="B13:C13"/>
    <mergeCell ref="B14:C14"/>
    <mergeCell ref="B15:C15"/>
    <mergeCell ref="A21:E21"/>
    <mergeCell ref="K26:M26"/>
    <mergeCell ref="B34:C34"/>
    <mergeCell ref="B35:C35"/>
    <mergeCell ref="B28:C28"/>
    <mergeCell ref="B29:C29"/>
    <mergeCell ref="B30:C30"/>
    <mergeCell ref="B31:C31"/>
    <mergeCell ref="B32:C32"/>
    <mergeCell ref="B33:C33"/>
    <mergeCell ref="B27:C27"/>
  </mergeCells>
  <phoneticPr fontId="11" type="noConversion"/>
  <pageMargins left="0.25" right="0.25" top="0.75" bottom="0.75" header="0.3" footer="0.3"/>
  <pageSetup scale="2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b939ad-ddc5-4ec6-8f7b-26e7ba0b44e2" xsi:nil="true"/>
    <lcf76f155ced4ddcb4097134ff3c332f xmlns="6781398e-0e90-49fa-b1f1-17d378b25e5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B8834695CE8D45AF521B0EE6102D33" ma:contentTypeVersion="18" ma:contentTypeDescription="Create a new document." ma:contentTypeScope="" ma:versionID="8f4f219a2ea0ddcacb28c1efd84fbdc1">
  <xsd:schema xmlns:xsd="http://www.w3.org/2001/XMLSchema" xmlns:xs="http://www.w3.org/2001/XMLSchema" xmlns:p="http://schemas.microsoft.com/office/2006/metadata/properties" xmlns:ns2="2fb939ad-ddc5-4ec6-8f7b-26e7ba0b44e2" xmlns:ns3="6781398e-0e90-49fa-b1f1-17d378b25e53" targetNamespace="http://schemas.microsoft.com/office/2006/metadata/properties" ma:root="true" ma:fieldsID="dfbd6412f4d2b2dea746ef64d2c0072d" ns2:_="" ns3:_="">
    <xsd:import namespace="2fb939ad-ddc5-4ec6-8f7b-26e7ba0b44e2"/>
    <xsd:import namespace="6781398e-0e90-49fa-b1f1-17d378b25e5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b939ad-ddc5-4ec6-8f7b-26e7ba0b44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dc6345-d924-4c2c-a102-4fb37922611c}" ma:internalName="TaxCatchAll" ma:showField="CatchAllData" ma:web="2fb939ad-ddc5-4ec6-8f7b-26e7ba0b44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1398e-0e90-49fa-b1f1-17d378b25e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65c334b-2e5f-4f18-b20f-e0c88ffdc8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67C958-43FE-440B-AE37-9A7AB35E5738}">
  <ds:schemaRefs>
    <ds:schemaRef ds:uri="http://schemas.microsoft.com/office/2006/metadata/properties"/>
    <ds:schemaRef ds:uri="http://schemas.microsoft.com/office/infopath/2007/PartnerControls"/>
    <ds:schemaRef ds:uri="2fb939ad-ddc5-4ec6-8f7b-26e7ba0b44e2"/>
    <ds:schemaRef ds:uri="6781398e-0e90-49fa-b1f1-17d378b25e53"/>
  </ds:schemaRefs>
</ds:datastoreItem>
</file>

<file path=customXml/itemProps2.xml><?xml version="1.0" encoding="utf-8"?>
<ds:datastoreItem xmlns:ds="http://schemas.openxmlformats.org/officeDocument/2006/customXml" ds:itemID="{3162DFB4-7087-4B09-A63A-C730561CB3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b939ad-ddc5-4ec6-8f7b-26e7ba0b44e2"/>
    <ds:schemaRef ds:uri="6781398e-0e90-49fa-b1f1-17d378b25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91CB5F-2251-4B6B-9C29-F748386B3A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Order status January'2026</vt:lpstr>
      <vt:lpstr>Order status February'2026</vt:lpstr>
      <vt:lpstr>Order status March'2026</vt:lpstr>
      <vt:lpstr>Order status April'2026</vt:lpstr>
      <vt:lpstr>Order status May'2026</vt:lpstr>
      <vt:lpstr>Order status June'2026</vt:lpstr>
      <vt:lpstr>Order status July'2026</vt:lpstr>
      <vt:lpstr>Order status August'2026</vt:lpstr>
      <vt:lpstr>Order status September'2026</vt:lpstr>
      <vt:lpstr>Incoming vessels-2026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Niketa Soni</dc:creator>
  <cp:keywords/>
  <dc:description/>
  <cp:lastModifiedBy>Nithin Santosh</cp:lastModifiedBy>
  <cp:revision/>
  <dcterms:created xsi:type="dcterms:W3CDTF">2023-12-28T11:18:26Z</dcterms:created>
  <dcterms:modified xsi:type="dcterms:W3CDTF">2026-09-22T10:30:34Z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0x010100E5B8834695CE8D45AF521B0EE6102D33</vt:lpwstr>
  </property>
  <property fmtid="{D5CDD505-2E9C-101B-9397-08002B2CF9AE}" pid="3" name="MediaServiceImageTags">
    <vt:lpwstr/>
  </property>
</Properties>
</file>